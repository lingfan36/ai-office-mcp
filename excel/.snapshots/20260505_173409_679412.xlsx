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0375B44-EB76-402A-AC88-4BEBEA7AEC0A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4" l="1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<sst xmlns="http://schemas.openxmlformats.org/spreadsheetml/2006/main" count="138" uniqueCount="103">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</sst>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  <c r="I3" t="s">
        <v>1</v>
      </c>
      <c r="J3">
        <f>SUMIF($D$2:$D$17,I3,$E$2:$E$17)</f>
        <v>576000</v>
      </c>
      <c r="K3">
        <f>SUMIF($D$2:$D$17,I3,$F$2:$F$17)</f>
        <v>105500</v>
      </c>
      <c r="L3">
        <f>J3-K3</f>
        <v>470500</v>
      </c>
    </row>
    <row r="4" spans="1:12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12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12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12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12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12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12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12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12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12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