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1D55E91-C395-4754-AA4E-8753401AE7BF}" xr6:coauthVersionLast="47" xr6:coauthVersionMax="47" xr10:uidLastSave="{00000000-0000-0000-0000-000000000000}"/>
  <bookViews>
    <workbookView xWindow="1520" yWindow="152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  <sheet name="上期比较1" sheetId="7" r:id="rId7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7" l="1"/>
  <c r="F20" i="7"/>
  <c r="E20" i="7"/>
  <c r="F14" i="7"/>
  <c r="E14" i="7"/>
  <c r="E21" i="7" s="1"/>
  <c r="C14" i="7"/>
  <c r="C21" i="7" s="1"/>
  <c r="B14" i="7"/>
  <c r="B21" i="7" s="1"/>
  <c r="F9" i="7"/>
  <c r="F21" i="7" s="1"/>
  <c r="E9" i="7"/>
  <c r="C9" i="7"/>
  <c r="B9" i="7"/>
  <c r="A23" i="6"/>
  <c r="B21" i="6"/>
  <c r="F20" i="6"/>
  <c r="E20" i="6"/>
  <c r="F14" i="6"/>
  <c r="F21" i="6" s="1"/>
  <c r="E14" i="6"/>
  <c r="E21" i="6" s="1"/>
  <c r="C14" i="6"/>
  <c r="C21" i="6" s="1"/>
  <c r="B14" i="6"/>
  <c r="F9" i="6"/>
  <c r="E9" i="6"/>
  <c r="C9" i="6"/>
  <c r="B9" i="6"/>
  <c r="A23" i="5"/>
  <c r="C21" i="5"/>
  <c r="B21" i="5"/>
  <c r="F20" i="5"/>
  <c r="F21" i="5" s="1"/>
  <c r="E20" i="5"/>
  <c r="E21" i="5" s="1"/>
  <c r="F14" i="5"/>
  <c r="E14" i="5"/>
  <c r="C14" i="5"/>
  <c r="B14" i="5"/>
  <c r="F9" i="5"/>
  <c r="E9" i="5"/>
  <c r="C9" i="5"/>
  <c r="B9" i="5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8" i="2"/>
  <c r="K7" i="2"/>
  <c r="J7" i="2"/>
  <c r="L7" i="2" s="1"/>
  <c r="H7" i="2"/>
  <c r="K6" i="2"/>
  <c r="J6" i="2"/>
  <c r="L6" i="2" s="1"/>
  <c r="H6" i="2"/>
  <c r="K5" i="2"/>
  <c r="J5" i="2"/>
  <c r="L5" i="2" s="1"/>
  <c r="H5" i="2"/>
  <c r="K4" i="2"/>
  <c r="J4" i="2"/>
  <c r="L4" i="2" s="1"/>
  <c r="H4" i="2"/>
  <c r="K3" i="2"/>
  <c r="K8" i="2" s="1"/>
  <c r="J3" i="2"/>
  <c r="H3" i="2"/>
  <c r="H2" i="2"/>
  <c r="F5" i="4" l="1"/>
  <c r="F9" i="4"/>
  <c r="F11" i="4" s="1"/>
  <c r="C5" i="4"/>
  <c r="C9" i="4"/>
  <c r="C11" i="4" s="1"/>
  <c r="D4" i="4"/>
  <c r="E4" i="4" s="1"/>
  <c r="B9" i="4"/>
  <c r="B5" i="4"/>
  <c r="D5" i="4" s="1"/>
  <c r="E5" i="4" s="1"/>
  <c r="D9" i="3"/>
  <c r="C10" i="3"/>
  <c r="C14" i="3"/>
  <c r="C18" i="3"/>
  <c r="C15" i="3"/>
  <c r="C13" i="3"/>
  <c r="C11" i="3"/>
  <c r="C16" i="3"/>
  <c r="C9" i="3"/>
  <c r="C20" i="3"/>
  <c r="C17" i="3"/>
  <c r="C12" i="3"/>
  <c r="C19" i="3"/>
  <c r="L3" i="2"/>
  <c r="L8" i="2" s="1"/>
  <c r="J8" i="2"/>
  <c r="F12" i="4" l="1"/>
  <c r="F13" i="4"/>
  <c r="C12" i="4"/>
  <c r="C13" i="4"/>
  <c r="C14" i="4" s="1"/>
  <c r="D9" i="4"/>
  <c r="E9" i="4" s="1"/>
  <c r="B11" i="4"/>
  <c r="E9" i="3"/>
  <c r="F9" i="3" s="1"/>
  <c r="B10" i="3" s="1"/>
  <c r="D11" i="4" l="1"/>
  <c r="E11" i="4" s="1"/>
  <c r="B12" i="4"/>
  <c r="D12" i="4" s="1"/>
  <c r="E12" i="4" s="1"/>
  <c r="B13" i="4"/>
  <c r="D10" i="3"/>
  <c r="E10" i="3" s="1"/>
  <c r="F10" i="3" s="1"/>
  <c r="B11" i="3" s="1"/>
  <c r="D13" i="4" l="1"/>
  <c r="E13" i="4" s="1"/>
  <c r="B14" i="4"/>
  <c r="D14" i="4" s="1"/>
  <c r="E14" i="4" s="1"/>
  <c r="D11" i="3"/>
  <c r="E11" i="3" s="1"/>
  <c r="F11" i="3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 s="1"/>
  <c r="B19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<sst xmlns="http://schemas.openxmlformats.org/spreadsheetml/2006/main" count="247" uniqueCount="114">
  <si>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</si>
  <si>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</si>
  <si>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</si>
  <si>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</si>
  <si>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</si>
  <si>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</si>
  <si>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</si>
  <si>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</si>
  <si>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</si>
  <si>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</si>
  <si>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</si>
  <si>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</si>
  <si>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</si>
  <si>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</si>
  <si>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</si>
  <si>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</si>
  <si>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</si>
  <si>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</si>
  <si>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</si>
  <si>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</si>
  <si>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</si>
  <si>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</si>
  <si>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</si>
  <si>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</si>
  <si>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</si>
  <si>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</si>
  <si>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</si>
  <si>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</si>
  <si>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</si>
  <si>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=IF(VLOOKUP(B9,辅助表!$A:$C,2,0)=C9,"OK","科目名不符")</t>
  </si>
  <si>
    <t>=IF(VLOOKUP(B10,辅助表!$A:$C,2,0)=C10,"OK","科目名不符")</t>
  </si>
  <si>
    <t>支付办公费</t>
  </si>
  <si>
    <t>=IF(VLOOKUP(B11,辅助表!$A:$C,2,0)=C11,"OK","科目名不符")</t>
  </si>
  <si>
    <t>=IF(VLOOKUP(B12,辅助表!$A:$C,2,0)=C12,"OK","科目名不符")</t>
  </si>
  <si>
    <t>销售产品B</t>
  </si>
  <si>
    <t>=IF(VLOOKUP(B13,辅助表!$A:$C,2,0)=C13,"OK","科目名不符")</t>
  </si>
  <si>
    <t>=IF(VLOOKUP(B14,辅助表!$A:$C,2,0)=C14,"OK","科目名不符")</t>
  </si>
  <si>
    <t>收回应收账款</t>
  </si>
  <si>
    <t>=IF(VLOOKUP(B15,辅助表!$A:$C,2,0)=C15,"OK","科目名不符")</t>
  </si>
  <si>
    <t>=IF(VLOOKUP(B16,辅助表!$A:$C,2,0)=C16,"OK","科目名不符")</t>
  </si>
  <si>
    <t>凭证日期</t>
  </si>
  <si>
    <t>借方金额</t>
  </si>
  <si>
    <t>贷方金额</t>
  </si>
  <si>
    <t>说明</t>
  </si>
  <si>
    <t>=IF(VLOOKUP(B17,辅助表!$A:$C,2,0)=C17,"OK","科目名不符")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</si>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</sst>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61.0898437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29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30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31</v>
      </c>
      <c r="H11" s="33" t="s">
        <v>32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31</v>
      </c>
      <c r="H12" s="33" t="s">
        <v>33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34</v>
      </c>
      <c r="H13" s="33" t="s">
        <v>35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34</v>
      </c>
      <c r="H14" s="33" t="s">
        <v>36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37</v>
      </c>
      <c r="H15" s="33" t="s">
        <v>38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37</v>
      </c>
      <c r="H16" s="33" t="s">
        <v>39</v>
      </c>
    </row>
    <row r="17" spans="1:8" x14ac:dyDescent="0.25">
      <c r="A17" s="29" t="s">
        <v>40</v>
      </c>
      <c r="B17" s="29" t="s">
        <v>0</v>
      </c>
      <c r="C17" s="29" t="s">
        <v>1</v>
      </c>
      <c r="D17" s="29" t="s">
        <v>2</v>
      </c>
      <c r="E17" s="29" t="s">
        <v>41</v>
      </c>
      <c r="F17" s="29" t="s">
        <v>42</v>
      </c>
      <c r="G17" s="29" t="s">
        <v>43</v>
      </c>
      <c r="H17" s="33" t="s">
        <v>44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45</v>
      </c>
      <c r="B1" s="35"/>
      <c r="C1" s="35"/>
      <c r="D1" s="35"/>
      <c r="E1" s="35"/>
      <c r="F1" s="35"/>
      <c r="H1" s="37" t="s">
        <v>46</v>
      </c>
      <c r="I1" s="35"/>
      <c r="J1" s="35"/>
      <c r="K1" s="35"/>
      <c r="L1" s="35"/>
      <c r="M1" s="35"/>
      <c r="N1" s="35"/>
    </row>
    <row r="3" spans="1:14" x14ac:dyDescent="0.25">
      <c r="A3" t="s">
        <v>47</v>
      </c>
      <c r="B3" s="19">
        <v>1000000</v>
      </c>
      <c r="H3" t="s">
        <v>48</v>
      </c>
      <c r="I3" s="16">
        <v>0.1</v>
      </c>
    </row>
    <row r="4" spans="1:14" x14ac:dyDescent="0.25">
      <c r="A4" t="s">
        <v>49</v>
      </c>
      <c r="B4" s="19">
        <v>4.4999999999999998E-2</v>
      </c>
      <c r="H4" t="s">
        <v>50</v>
      </c>
      <c r="I4">
        <v>-500000</v>
      </c>
    </row>
    <row r="5" spans="1:14" x14ac:dyDescent="0.25">
      <c r="A5" t="s">
        <v>51</v>
      </c>
      <c r="B5" s="19">
        <v>60</v>
      </c>
      <c r="H5" s="2" t="s">
        <v>52</v>
      </c>
      <c r="I5" s="2" t="s">
        <v>53</v>
      </c>
    </row>
    <row r="6" spans="1:14" x14ac:dyDescent="0.25">
      <c r="A6" s="20" t="s">
        <v>54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61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62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63</v>
      </c>
      <c r="B1" s="15" t="s">
        <v>64</v>
      </c>
      <c r="C1" s="15" t="s">
        <v>65</v>
      </c>
      <c r="D1" s="15" t="s">
        <v>66</v>
      </c>
      <c r="E1" s="15" t="s">
        <v>67</v>
      </c>
      <c r="F1" s="15" t="s">
        <v>68</v>
      </c>
    </row>
    <row r="2" spans="1:6" x14ac:dyDescent="0.25">
      <c r="A2" t="s">
        <v>69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70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71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72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73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74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75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76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77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78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79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80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81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82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60</v>
      </c>
      <c r="C2" s="7" t="s">
        <v>56</v>
      </c>
      <c r="D2" s="7" t="s">
        <v>83</v>
      </c>
      <c r="E2" s="7" t="s">
        <v>60</v>
      </c>
      <c r="F2" s="8" t="s">
        <v>56</v>
      </c>
    </row>
    <row r="3" spans="1:6" x14ac:dyDescent="0.25">
      <c r="A3" s="9" t="s">
        <v>84</v>
      </c>
      <c r="B3" s="10"/>
      <c r="C3" s="10"/>
      <c r="D3" s="9" t="s">
        <v>85</v>
      </c>
      <c r="E3" s="10"/>
      <c r="F3" s="10"/>
    </row>
    <row r="4" spans="1:6" x14ac:dyDescent="0.25">
      <c r="A4" s="9" t="s">
        <v>86</v>
      </c>
      <c r="B4" s="10">
        <v>850000</v>
      </c>
      <c r="C4" s="10">
        <v>720000</v>
      </c>
      <c r="D4" s="9" t="s">
        <v>87</v>
      </c>
      <c r="E4" s="10">
        <v>200000</v>
      </c>
      <c r="F4" s="10">
        <v>150000</v>
      </c>
    </row>
    <row r="5" spans="1:6" x14ac:dyDescent="0.25">
      <c r="A5" s="9" t="s">
        <v>88</v>
      </c>
      <c r="B5" s="10">
        <v>430000</v>
      </c>
      <c r="C5" s="10">
        <v>380000</v>
      </c>
      <c r="D5" s="9" t="s">
        <v>89</v>
      </c>
      <c r="E5" s="10">
        <v>310000</v>
      </c>
      <c r="F5" s="10">
        <v>270000</v>
      </c>
    </row>
    <row r="6" spans="1:6" x14ac:dyDescent="0.25">
      <c r="A6" s="9" t="s">
        <v>90</v>
      </c>
      <c r="B6" s="10">
        <v>280000</v>
      </c>
      <c r="C6" s="10">
        <v>260000</v>
      </c>
      <c r="D6" s="9" t="s">
        <v>91</v>
      </c>
      <c r="E6" s="10">
        <v>45000</v>
      </c>
      <c r="F6" s="10">
        <v>38000</v>
      </c>
    </row>
    <row r="7" spans="1:6" x14ac:dyDescent="0.25">
      <c r="A7" s="9" t="s">
        <v>92</v>
      </c>
      <c r="B7" s="10">
        <v>35000</v>
      </c>
      <c r="C7" s="10">
        <v>28000</v>
      </c>
      <c r="D7" s="9" t="s">
        <v>93</v>
      </c>
      <c r="E7" s="10">
        <v>82000</v>
      </c>
      <c r="F7" s="10">
        <v>76000</v>
      </c>
    </row>
    <row r="8" spans="1:6" x14ac:dyDescent="0.25">
      <c r="A8" s="9" t="s">
        <v>94</v>
      </c>
      <c r="B8" s="10">
        <v>15000</v>
      </c>
      <c r="C8" s="10">
        <v>12000</v>
      </c>
      <c r="D8" s="9" t="s">
        <v>95</v>
      </c>
      <c r="E8" s="10">
        <v>28000</v>
      </c>
      <c r="F8" s="10">
        <v>24000</v>
      </c>
    </row>
    <row r="9" spans="1:6" x14ac:dyDescent="0.25">
      <c r="A9" s="11" t="s">
        <v>96</v>
      </c>
      <c r="B9" s="5">
        <f>SUM(B4:B8)</f>
        <v>1610000</v>
      </c>
      <c r="C9" s="5">
        <f>SUM(C4:C8)</f>
        <v>1400000</v>
      </c>
      <c r="D9" s="13" t="s">
        <v>97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98</v>
      </c>
      <c r="B11" s="10"/>
      <c r="C11" s="10"/>
      <c r="D11" s="9" t="s">
        <v>99</v>
      </c>
      <c r="E11" s="10"/>
      <c r="F11" s="10"/>
    </row>
    <row r="12" spans="1:6" x14ac:dyDescent="0.25">
      <c r="A12" s="9" t="s">
        <v>100</v>
      </c>
      <c r="B12" s="10">
        <v>1200000</v>
      </c>
      <c r="C12" s="10">
        <v>1350000</v>
      </c>
      <c r="D12" s="9" t="s">
        <v>101</v>
      </c>
      <c r="E12" s="10">
        <v>500000</v>
      </c>
      <c r="F12" s="10">
        <v>600000</v>
      </c>
    </row>
    <row r="13" spans="1:6" x14ac:dyDescent="0.25">
      <c r="A13" s="9" t="s">
        <v>102</v>
      </c>
      <c r="B13" s="10">
        <v>180000</v>
      </c>
      <c r="C13" s="10">
        <v>200000</v>
      </c>
      <c r="D13" s="9" t="s">
        <v>103</v>
      </c>
      <c r="E13" s="10">
        <v>80000</v>
      </c>
      <c r="F13" s="10">
        <v>90000</v>
      </c>
    </row>
    <row r="14" spans="1:6" x14ac:dyDescent="0.25">
      <c r="A14" s="11" t="s">
        <v>104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105</v>
      </c>
      <c r="B15" s="10"/>
      <c r="C15" s="10"/>
      <c r="D15" s="9" t="s">
        <v>106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107</v>
      </c>
      <c r="E17" s="10"/>
      <c r="F17" s="10"/>
    </row>
    <row r="18" spans="1:6" x14ac:dyDescent="0.25">
      <c r="A18" s="9"/>
      <c r="B18" s="10"/>
      <c r="C18" s="10"/>
      <c r="D18" s="9" t="s">
        <v>108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110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111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112</v>
      </c>
      <c r="B22" s="9"/>
      <c r="C22" s="9"/>
      <c r="D22" s="9" t="s">
        <v>113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82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60</v>
      </c>
      <c r="C2" s="7" t="s">
        <v>56</v>
      </c>
      <c r="D2" s="7" t="s">
        <v>83</v>
      </c>
      <c r="E2" s="7" t="s">
        <v>60</v>
      </c>
      <c r="F2" s="8" t="s">
        <v>56</v>
      </c>
    </row>
    <row r="3" spans="1:6" x14ac:dyDescent="0.25">
      <c r="A3" s="9" t="s">
        <v>84</v>
      </c>
      <c r="B3" s="10"/>
      <c r="C3" s="10"/>
      <c r="D3" s="9" t="s">
        <v>85</v>
      </c>
      <c r="E3" s="10"/>
      <c r="F3" s="10"/>
    </row>
    <row r="4" spans="1:6" x14ac:dyDescent="0.25">
      <c r="A4" s="9" t="s">
        <v>86</v>
      </c>
      <c r="B4" s="10">
        <v>850000</v>
      </c>
      <c r="C4" s="10">
        <v>720000</v>
      </c>
      <c r="D4" s="9" t="s">
        <v>87</v>
      </c>
      <c r="E4" s="10">
        <v>200000</v>
      </c>
      <c r="F4" s="10">
        <v>150000</v>
      </c>
    </row>
    <row r="5" spans="1:6" x14ac:dyDescent="0.25">
      <c r="A5" s="9" t="s">
        <v>88</v>
      </c>
      <c r="B5" s="10">
        <v>430000</v>
      </c>
      <c r="C5" s="10">
        <v>380000</v>
      </c>
      <c r="D5" s="9" t="s">
        <v>89</v>
      </c>
      <c r="E5" s="10">
        <v>310000</v>
      </c>
      <c r="F5" s="10">
        <v>270000</v>
      </c>
    </row>
    <row r="6" spans="1:6" x14ac:dyDescent="0.25">
      <c r="A6" s="9" t="s">
        <v>90</v>
      </c>
      <c r="B6" s="10">
        <v>280000</v>
      </c>
      <c r="C6" s="10">
        <v>260000</v>
      </c>
      <c r="D6" s="9" t="s">
        <v>91</v>
      </c>
      <c r="E6" s="10">
        <v>45000</v>
      </c>
      <c r="F6" s="10">
        <v>38000</v>
      </c>
    </row>
    <row r="7" spans="1:6" x14ac:dyDescent="0.25">
      <c r="A7" s="9" t="s">
        <v>92</v>
      </c>
      <c r="B7" s="10">
        <v>35000</v>
      </c>
      <c r="C7" s="10">
        <v>28000</v>
      </c>
      <c r="D7" s="9" t="s">
        <v>93</v>
      </c>
      <c r="E7" s="10">
        <v>82000</v>
      </c>
      <c r="F7" s="10">
        <v>76000</v>
      </c>
    </row>
    <row r="8" spans="1:6" x14ac:dyDescent="0.25">
      <c r="A8" s="9" t="s">
        <v>94</v>
      </c>
      <c r="B8" s="10">
        <v>15000</v>
      </c>
      <c r="C8" s="10">
        <v>12000</v>
      </c>
      <c r="D8" s="9" t="s">
        <v>95</v>
      </c>
      <c r="E8" s="10">
        <v>28000</v>
      </c>
      <c r="F8" s="10">
        <v>24000</v>
      </c>
    </row>
    <row r="9" spans="1:6" x14ac:dyDescent="0.25">
      <c r="A9" s="11" t="s">
        <v>96</v>
      </c>
      <c r="B9" s="5">
        <f>SUM(B4:B8)</f>
        <v>1610000</v>
      </c>
      <c r="C9" s="5">
        <f>SUM(C4:C8)</f>
        <v>1400000</v>
      </c>
      <c r="D9" s="13" t="s">
        <v>97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98</v>
      </c>
      <c r="B11" s="10"/>
      <c r="C11" s="10"/>
      <c r="D11" s="9" t="s">
        <v>99</v>
      </c>
      <c r="E11" s="10"/>
      <c r="F11" s="10"/>
    </row>
    <row r="12" spans="1:6" x14ac:dyDescent="0.25">
      <c r="A12" s="9" t="s">
        <v>100</v>
      </c>
      <c r="B12" s="10">
        <v>1200000</v>
      </c>
      <c r="C12" s="10">
        <v>1350000</v>
      </c>
      <c r="D12" s="9" t="s">
        <v>101</v>
      </c>
      <c r="E12" s="10">
        <v>500000</v>
      </c>
      <c r="F12" s="10">
        <v>600000</v>
      </c>
    </row>
    <row r="13" spans="1:6" x14ac:dyDescent="0.25">
      <c r="A13" s="9" t="s">
        <v>102</v>
      </c>
      <c r="B13" s="10">
        <v>180000</v>
      </c>
      <c r="C13" s="10">
        <v>200000</v>
      </c>
      <c r="D13" s="9" t="s">
        <v>103</v>
      </c>
      <c r="E13" s="10">
        <v>80000</v>
      </c>
      <c r="F13" s="10">
        <v>90000</v>
      </c>
    </row>
    <row r="14" spans="1:6" x14ac:dyDescent="0.25">
      <c r="A14" s="11" t="s">
        <v>104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105</v>
      </c>
      <c r="B15" s="10"/>
      <c r="C15" s="10"/>
      <c r="D15" s="9" t="s">
        <v>106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107</v>
      </c>
      <c r="E17" s="10"/>
      <c r="F17" s="10"/>
    </row>
    <row r="18" spans="1:6" x14ac:dyDescent="0.25">
      <c r="A18" s="9"/>
      <c r="B18" s="10"/>
      <c r="C18" s="10"/>
      <c r="D18" s="9" t="s">
        <v>108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110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111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112</v>
      </c>
      <c r="B22" s="9"/>
      <c r="C22" s="9"/>
      <c r="D22" s="9" t="s">
        <v>113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82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60</v>
      </c>
      <c r="C2" s="7" t="s">
        <v>56</v>
      </c>
      <c r="D2" s="7" t="s">
        <v>83</v>
      </c>
      <c r="E2" s="7" t="s">
        <v>60</v>
      </c>
      <c r="F2" s="8" t="s">
        <v>56</v>
      </c>
    </row>
    <row r="3" spans="1:6" x14ac:dyDescent="0.25">
      <c r="A3" s="9" t="s">
        <v>84</v>
      </c>
      <c r="B3" s="10"/>
      <c r="C3" s="10"/>
      <c r="D3" s="9" t="s">
        <v>85</v>
      </c>
      <c r="E3" s="10"/>
      <c r="F3" s="10"/>
    </row>
    <row r="4" spans="1:6" x14ac:dyDescent="0.25">
      <c r="A4" s="9" t="s">
        <v>86</v>
      </c>
      <c r="B4" s="10">
        <v>850000</v>
      </c>
      <c r="C4" s="10">
        <v>720000</v>
      </c>
      <c r="D4" s="9" t="s">
        <v>87</v>
      </c>
      <c r="E4" s="10">
        <v>200000</v>
      </c>
      <c r="F4" s="10">
        <v>150000</v>
      </c>
    </row>
    <row r="5" spans="1:6" x14ac:dyDescent="0.25">
      <c r="A5" s="9" t="s">
        <v>88</v>
      </c>
      <c r="B5" s="10">
        <v>430000</v>
      </c>
      <c r="C5" s="10">
        <v>380000</v>
      </c>
      <c r="D5" s="9" t="s">
        <v>89</v>
      </c>
      <c r="E5" s="10">
        <v>310000</v>
      </c>
      <c r="F5" s="10">
        <v>270000</v>
      </c>
    </row>
    <row r="6" spans="1:6" x14ac:dyDescent="0.25">
      <c r="A6" s="9" t="s">
        <v>90</v>
      </c>
      <c r="B6" s="10">
        <v>280000</v>
      </c>
      <c r="C6" s="10">
        <v>260000</v>
      </c>
      <c r="D6" s="9" t="s">
        <v>91</v>
      </c>
      <c r="E6" s="10">
        <v>45000</v>
      </c>
      <c r="F6" s="10">
        <v>38000</v>
      </c>
    </row>
    <row r="7" spans="1:6" x14ac:dyDescent="0.25">
      <c r="A7" s="9" t="s">
        <v>92</v>
      </c>
      <c r="B7" s="10">
        <v>35000</v>
      </c>
      <c r="C7" s="10">
        <v>28000</v>
      </c>
      <c r="D7" s="9" t="s">
        <v>93</v>
      </c>
      <c r="E7" s="10">
        <v>82000</v>
      </c>
      <c r="F7" s="10">
        <v>76000</v>
      </c>
    </row>
    <row r="8" spans="1:6" x14ac:dyDescent="0.25">
      <c r="A8" s="9" t="s">
        <v>94</v>
      </c>
      <c r="B8" s="10">
        <v>15000</v>
      </c>
      <c r="C8" s="10">
        <v>12000</v>
      </c>
      <c r="D8" s="9" t="s">
        <v>95</v>
      </c>
      <c r="E8" s="10">
        <v>28000</v>
      </c>
      <c r="F8" s="10">
        <v>24000</v>
      </c>
    </row>
    <row r="9" spans="1:6" x14ac:dyDescent="0.25">
      <c r="A9" s="11" t="s">
        <v>96</v>
      </c>
      <c r="B9" s="5">
        <f>SUM(B4:B8)</f>
        <v>1610000</v>
      </c>
      <c r="C9" s="5">
        <f>SUM(C4:C8)</f>
        <v>1400000</v>
      </c>
      <c r="D9" s="13" t="s">
        <v>97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98</v>
      </c>
      <c r="B11" s="10"/>
      <c r="C11" s="10"/>
      <c r="D11" s="9" t="s">
        <v>99</v>
      </c>
      <c r="E11" s="10"/>
      <c r="F11" s="10"/>
    </row>
    <row r="12" spans="1:6" x14ac:dyDescent="0.25">
      <c r="A12" s="9" t="s">
        <v>100</v>
      </c>
      <c r="B12" s="10">
        <v>1200000</v>
      </c>
      <c r="C12" s="10">
        <v>1350000</v>
      </c>
      <c r="D12" s="9" t="s">
        <v>101</v>
      </c>
      <c r="E12" s="10">
        <v>500000</v>
      </c>
      <c r="F12" s="10">
        <v>600000</v>
      </c>
    </row>
    <row r="13" spans="1:6" x14ac:dyDescent="0.25">
      <c r="A13" s="9" t="s">
        <v>102</v>
      </c>
      <c r="B13" s="10">
        <v>180000</v>
      </c>
      <c r="C13" s="10">
        <v>200000</v>
      </c>
      <c r="D13" s="9" t="s">
        <v>103</v>
      </c>
      <c r="E13" s="10">
        <v>80000</v>
      </c>
      <c r="F13" s="10">
        <v>90000</v>
      </c>
    </row>
    <row r="14" spans="1:6" x14ac:dyDescent="0.25">
      <c r="A14" s="11" t="s">
        <v>104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105</v>
      </c>
      <c r="B15" s="10"/>
      <c r="C15" s="10"/>
      <c r="D15" s="9" t="s">
        <v>106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107</v>
      </c>
      <c r="E17" s="10"/>
      <c r="F17" s="10"/>
    </row>
    <row r="18" spans="1:6" x14ac:dyDescent="0.25">
      <c r="A18" s="9"/>
      <c r="B18" s="10"/>
      <c r="C18" s="10"/>
      <c r="D18" s="9" t="s">
        <v>108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110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111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112</v>
      </c>
      <c r="B22" s="9"/>
      <c r="C22" s="9"/>
      <c r="D22" s="9" t="s">
        <v>113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2</vt:i4>
      </vt:variant>
    </vt:vector>
  </HeadingPairs>
  <TitlesOfParts>
    <vt:vector size="9" baseType="lpstr">
      <vt:lpstr>辅助表</vt:lpstr>
      <vt:lpstr>明细账</vt:lpstr>
      <vt:lpstr>DCF模型</vt:lpstr>
      <vt:lpstr>损益表</vt:lpstr>
      <vt:lpstr>资产负债表</vt:lpstr>
      <vt:lpstr>上期比较</vt:lpstr>
      <vt:lpstr>上期比较1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2026-05-06T01:57:33Z</dcterms:modified>
</cp:coreProperties>
</file>