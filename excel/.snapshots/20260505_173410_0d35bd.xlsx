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83BFFE6-BB0A-4497-8E62-8B93D5021C71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4" l="1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<sst xmlns="http://schemas.openxmlformats.org/spreadsheetml/2006/main" count="164" uniqueCount="105">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</sst>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 t="s">
        <v>70</v>
      </c>
      <c r="B1" s="34" t="s">
        <v>71</v>
      </c>
      <c r="C1" s="34" t="s">
        <v>72</v>
      </c>
      <c r="D1" s="34" t="s">
        <v>73</v>
      </c>
      <c r="E1" s="34" t="s">
        <v>74</v>
      </c>
      <c r="F1" s="34" t="s">
        <v>75</v>
      </c>
      <c r="G1" s="34" t="s">
        <v>76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1001</v>
      </c>
      <c r="C2" s="26" t="s">
        <v>77</v>
      </c>
      <c r="D2" s="26" t="s">
        <v>1</v>
      </c>
      <c r="E2" s="27">
        <v>50000</v>
      </c>
      <c r="F2" s="27">
        <v>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45662</v>
      </c>
      <c r="B3" s="26">
        <v>4001</v>
      </c>
      <c r="C3" s="26" t="s">
        <v>79</v>
      </c>
      <c r="D3" s="26" t="s">
        <v>80</v>
      </c>
      <c r="E3" s="27">
        <v>0</v>
      </c>
      <c r="F3" s="27">
        <v>50000</v>
      </c>
      <c r="G3" s="26" t="s">
        <v>78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576000</v>
      </c>
      <c r="K3" s="23">
        <f>SUMIF($D$2:$D$17,I3,$F$2:$F$17)</f>
        <v>105500</v>
      </c>
      <c r="L3" s="23">
        <f>J3-K3</f>
        <v>470500</v>
      </c>
    </row>
    <row r="4" spans="1:12" x14ac:dyDescent="0.25">
      <c r="A4" s="35">
        <v>45667</v>
      </c>
      <c r="B4" s="26">
        <v>1002</v>
      </c>
      <c r="C4" s="26" t="s">
        <v>81</v>
      </c>
      <c r="D4" s="26" t="s">
        <v>1</v>
      </c>
      <c r="E4" s="27">
        <v>200000</v>
      </c>
      <c r="F4" s="27">
        <v>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45667</v>
      </c>
      <c r="B5" s="26">
        <v>2001</v>
      </c>
      <c r="C5" s="26" t="s">
        <v>83</v>
      </c>
      <c r="D5" s="26" t="s">
        <v>84</v>
      </c>
      <c r="E5" s="27">
        <v>0</v>
      </c>
      <c r="F5" s="27">
        <v>200000</v>
      </c>
      <c r="G5" s="26" t="s">
        <v>82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5001</v>
      </c>
      <c r="C6" s="26" t="s">
        <v>85</v>
      </c>
      <c r="D6" s="26" t="s">
        <v>86</v>
      </c>
      <c r="E6" s="27">
        <v>0</v>
      </c>
      <c r="F6" s="27">
        <v>85000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45672</v>
      </c>
      <c r="B7" s="26">
        <v>1122</v>
      </c>
      <c r="C7" s="26" t="s">
        <v>88</v>
      </c>
      <c r="D7" s="26" t="s">
        <v>1</v>
      </c>
      <c r="E7" s="27">
        <v>85000</v>
      </c>
      <c r="F7" s="27">
        <v>0</v>
      </c>
      <c r="G7" s="26" t="s">
        <v>87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5401</v>
      </c>
      <c r="C8" s="26" t="s">
        <v>89</v>
      </c>
      <c r="D8" s="26" t="s">
        <v>90</v>
      </c>
      <c r="E8" s="27">
        <v>12000</v>
      </c>
      <c r="F8" s="27">
        <v>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596500</v>
      </c>
      <c r="K8" s="37">
        <f>SUM(K3:K7)</f>
        <v>596500</v>
      </c>
      <c r="L8" s="38">
        <f>SUM(L3:L7)</f>
        <v>0</v>
      </c>
    </row>
    <row r="9" spans="1:12" x14ac:dyDescent="0.25">
      <c r="A9" s="35">
        <v>45677</v>
      </c>
      <c r="B9" s="26">
        <v>1002</v>
      </c>
      <c r="C9" s="26" t="s">
        <v>81</v>
      </c>
      <c r="D9" s="26" t="s">
        <v>1</v>
      </c>
      <c r="E9" s="27">
        <v>0</v>
      </c>
      <c r="F9" s="27">
        <v>12000</v>
      </c>
      <c r="G9" s="26" t="s">
        <v>91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1401</v>
      </c>
      <c r="C10" s="26" t="s">
        <v>92</v>
      </c>
      <c r="D10" s="26" t="s">
        <v>1</v>
      </c>
      <c r="E10" s="27">
        <v>36000</v>
      </c>
      <c r="F10" s="27">
        <v>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45691</v>
      </c>
      <c r="B11" s="26">
        <v>2202</v>
      </c>
      <c r="C11" s="26" t="s">
        <v>94</v>
      </c>
      <c r="D11" s="26" t="s">
        <v>84</v>
      </c>
      <c r="E11" s="27">
        <v>0</v>
      </c>
      <c r="F11" s="27">
        <v>36000</v>
      </c>
      <c r="G11" s="26" t="s">
        <v>93</v>
      </c>
    </row>
    <row r="12" spans="1:12" x14ac:dyDescent="0.25">
      <c r="A12" s="35">
        <v>45698</v>
      </c>
      <c r="B12" s="26">
        <v>5101</v>
      </c>
      <c r="C12" s="26" t="s">
        <v>95</v>
      </c>
      <c r="D12" s="26" t="s">
        <v>90</v>
      </c>
      <c r="E12" s="27">
        <v>8500</v>
      </c>
      <c r="F12" s="27">
        <v>0</v>
      </c>
      <c r="G12" s="26" t="s">
        <v>96</v>
      </c>
    </row>
    <row r="13" spans="1:12" x14ac:dyDescent="0.25">
      <c r="A13" s="35">
        <v>45698</v>
      </c>
      <c r="B13" s="26">
        <v>1002</v>
      </c>
      <c r="C13" s="26" t="s">
        <v>81</v>
      </c>
      <c r="D13" s="26" t="s">
        <v>1</v>
      </c>
      <c r="E13" s="27">
        <v>0</v>
      </c>
      <c r="F13" s="27">
        <v>8500</v>
      </c>
      <c r="G13" s="26" t="s">
        <v>96</v>
      </c>
    </row>
    <row r="14" spans="1:12" x14ac:dyDescent="0.25">
      <c r="A14" s="35">
        <v>45706</v>
      </c>
      <c r="B14" s="26">
        <v>5001</v>
      </c>
      <c r="C14" s="26" t="s">
        <v>85</v>
      </c>
      <c r="D14" s="26" t="s">
        <v>86</v>
      </c>
      <c r="E14" s="27">
        <v>0</v>
      </c>
      <c r="F14" s="27">
        <v>120000</v>
      </c>
      <c r="G14" s="26" t="s">
        <v>97</v>
      </c>
    </row>
    <row r="15" spans="1:12" x14ac:dyDescent="0.25">
      <c r="A15" s="35">
        <v>45706</v>
      </c>
      <c r="B15" s="26">
        <v>1122</v>
      </c>
      <c r="C15" s="26" t="s">
        <v>88</v>
      </c>
      <c r="D15" s="26" t="s">
        <v>1</v>
      </c>
      <c r="E15" s="27">
        <v>120000</v>
      </c>
      <c r="F15" s="27">
        <v>0</v>
      </c>
      <c r="G15" s="26" t="s">
        <v>97</v>
      </c>
    </row>
    <row r="16" spans="1:12" x14ac:dyDescent="0.25">
      <c r="A16" s="35">
        <v>45717</v>
      </c>
      <c r="B16" s="26">
        <v>1002</v>
      </c>
      <c r="C16" s="26" t="s">
        <v>81</v>
      </c>
      <c r="D16" s="26" t="s">
        <v>1</v>
      </c>
      <c r="E16" s="27">
        <v>85000</v>
      </c>
      <c r="F16" s="27">
        <v>0</v>
      </c>
      <c r="G16" s="26" t="s">
        <v>98</v>
      </c>
    </row>
    <row r="17" spans="1:7" x14ac:dyDescent="0.25">
      <c r="A17" s="35">
        <v>45717</v>
      </c>
      <c r="B17" s="26">
        <v>1122</v>
      </c>
      <c r="C17" s="26" t="s">
        <v>88</v>
      </c>
      <c r="D17" s="26" t="s">
        <v>1</v>
      </c>
      <c r="E17" s="27">
        <v>0</v>
      </c>
      <c r="F17" s="27">
        <v>85000</v>
      </c>
      <c r="G17" s="26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2026-05-05T09:34:10Z</dcterms:modified>
</cp:coreProperties>
</file>