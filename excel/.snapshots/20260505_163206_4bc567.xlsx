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59C83EB-82DA-4A9C-8894-685577877F93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4" l="1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<sst xmlns="http://schemas.openxmlformats.org/spreadsheetml/2006/main" count="164" uniqueCount="105">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</sst>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t="str">
        <f>IF(VLOOKUP(B16,辅助表!$A:$C,2,0)=C16,"OK","科目名不符")</f>
        <v>OK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