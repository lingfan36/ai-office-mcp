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E5B13D7-A1E8-428A-9091-C6A2B1B6342D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<sst xmlns="http://schemas.openxmlformats.org/spreadsheetml/2006/main" count="163" uniqueCount="104">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</sst>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:C11"/>
  <sheetViews>
    <sheetView tabSelected="1" workbookViewId="0"/>
  </sheetViews>
  <sheetFormatPr defaultRowHeight="14" x14ac:dyDescent="0.25"/>
  <sheetData>
    <row r="1" spans="1:3" x14ac:dyDescent="0.25">
      <c r="A1" t="s">
        <v>71</v>
      </c>
      <c r="B1" t="s">
        <v>72</v>
      </c>
      <c r="C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 s="22">
        <f>SUMIF($D$2:$D$17,I3,$E$2:$E$17)</f>
        <v>526000</v>
      </c>
      <c r="K3" s="22">
        <f>SUMIF($D$2:$D$17,I3,$F$2:$F$17)</f>
        <v>105500</v>
      </c>
      <c r="L3" s="22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 s="22">
        <f>SUMIF($D$2:$D$17,I4,$E$2:$E$17)</f>
        <v>0</v>
      </c>
      <c r="K4" s="22">
        <f>SUMIF($D$2:$D$17,I4,$F$2:$F$17)</f>
        <v>236000</v>
      </c>
      <c r="L4" s="22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 s="22">
        <f>SUMIF($D$2:$D$17,I5,$E$2:$E$17)</f>
        <v>0</v>
      </c>
      <c r="K5" s="22">
        <f>SUMIF($D$2:$D$17,I5,$F$2:$F$17)</f>
        <v>50000</v>
      </c>
      <c r="L5" s="22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 s="22">
        <f>SUMIF($D$2:$D$17,I6,$E$2:$E$17)</f>
        <v>0</v>
      </c>
      <c r="K6" s="22">
        <f>SUMIF($D$2:$D$17,I6,$F$2:$F$17)</f>
        <v>205000</v>
      </c>
      <c r="L6" s="22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  <c r="I7" t="s">
        <v>90</v>
      </c>
      <c r="J7" s="22">
        <f>SUMIF($D$2:$D$17,I7,$E$2:$E$17)</f>
        <v>20500</v>
      </c>
      <c r="K7" s="22">
        <f>SUMIF($D$2:$D$17,I7,$F$2:$F$17)</f>
        <v>0</v>
      </c>
      <c r="L7" s="22">
        <f>J7-K7</f>
        <v>20500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  <c r="I8" s="3" t="s">
        <v>103</v>
      </c>
      <c r="J8" s="36">
        <f>SUM(J3:J7)</f>
        <v>546500</v>
      </c>
      <c r="K8" s="36">
        <f>SUM(K3:K7)</f>
        <v>596500</v>
      </c>
      <c r="L8" s="37">
        <f>SUM(L3:L7)</f>
        <v>-50000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2026-05-06T01:52:20Z</dcterms:modified>
</cp:coreProperties>
</file>