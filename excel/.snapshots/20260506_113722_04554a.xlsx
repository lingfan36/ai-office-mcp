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8D81AF8C-9D59-4C24-8D54-D7049745080E}" xr6:coauthVersionLast="47" xr6:coauthVersionMax="47" xr10:uidLastSave="{00000000-0000-0000-0000-000000000000}"/>
  <bookViews>
    <workbookView xWindow="1520" yWindow="1520" windowWidth="19200" windowHeight="11170" activeTab="1" xr2:uid="{00000000-000D-0000-FFFF-FFFF00000000}"/>
  </bookViews>
  <sheets>
    <sheet name="部门汇总" sheetId="4" r:id="rId1"/>
    <sheet name="数据透视" sheetId="5" r:id="rId2"/>
    <sheet name="社保明细" sheetId="3" r:id="rId3"/>
    <sheet name="薪酬统计" sheetId="2" r:id="rId4"/>
    <sheet name="花名册" sheetId="1" r:id="rId5"/>
  </sheets>
  <calcPr calcId="191029"/>
  <pivotCaches>
    <pivotCache cacheId="6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H8" i="4"/>
  <c r="G8" i="4"/>
  <c r="F8" i="4"/>
  <c r="E8" i="4"/>
  <c r="D8" i="4"/>
  <c r="C8" i="4"/>
  <c r="B8" i="4"/>
  <c r="I3" i="4"/>
  <c r="I4" i="4"/>
  <c r="I5" i="4"/>
  <c r="I6" i="4"/>
  <c r="I7" i="4"/>
  <c r="H3" i="4"/>
  <c r="H4" i="4"/>
  <c r="H5" i="4"/>
  <c r="H6" i="4"/>
  <c r="H7" i="4"/>
  <c r="G3" i="4"/>
  <c r="G4" i="4"/>
  <c r="G5" i="4"/>
  <c r="G6" i="4"/>
  <c r="G7" i="4"/>
  <c r="F3" i="4"/>
  <c r="F4" i="4"/>
  <c r="F5" i="4"/>
  <c r="F6" i="4"/>
  <c r="F7" i="4"/>
  <c r="E3" i="4"/>
  <c r="E4" i="4"/>
  <c r="E5" i="4"/>
  <c r="E6" i="4"/>
  <c r="E7" i="4"/>
  <c r="D3" i="4"/>
  <c r="D4" i="4"/>
  <c r="D5" i="4"/>
  <c r="D6" i="4"/>
  <c r="D7" i="4"/>
  <c r="C3" i="4"/>
  <c r="C4" i="4"/>
  <c r="C5" i="4"/>
  <c r="C6" i="4"/>
  <c r="C7" i="4"/>
  <c r="B3" i="4"/>
  <c r="B4" i="4"/>
  <c r="B5" i="4"/>
  <c r="B6" i="4"/>
  <c r="B7" i="4"/>
  <c r="P19" i="3"/>
  <c r="O19" i="3"/>
  <c r="N19" i="3"/>
  <c r="M19" i="3"/>
  <c r="K19" i="3"/>
  <c r="J19" i="3"/>
  <c r="I19" i="3"/>
  <c r="H19" i="3"/>
  <c r="G19" i="3"/>
  <c r="F19" i="3"/>
  <c r="E19" i="3"/>
  <c r="D19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K18" i="2"/>
  <c r="J18" i="2"/>
  <c r="I18" i="2"/>
  <c r="H18" i="2"/>
  <c r="G18" i="2"/>
  <c r="F18" i="2"/>
  <c r="E18" i="2"/>
  <c r="D1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</calcChain>
</file>

<file path=xl/sharedStrings.xml><?xml version="1.0" encoding="utf-8"?>
<sst xmlns="http://schemas.openxmlformats.org/spreadsheetml/2006/main" count="270" uniqueCount="105">
  <si>
    <t>XX 科技有限公司 — 员工花名册（2025年）</t>
  </si>
  <si>
    <t>编号</t>
  </si>
  <si>
    <t>姓名</t>
  </si>
  <si>
    <t>部门</t>
  </si>
  <si>
    <t>岗位</t>
  </si>
  <si>
    <t>性别</t>
  </si>
  <si>
    <t>入职日期</t>
  </si>
  <si>
    <t>合同类型</t>
  </si>
  <si>
    <t>状态</t>
  </si>
  <si>
    <t>E001</t>
  </si>
  <si>
    <t>张明</t>
  </si>
  <si>
    <t>研发部</t>
  </si>
  <si>
    <t>技术总监</t>
  </si>
  <si>
    <t>男</t>
  </si>
  <si>
    <t>无固定期限</t>
  </si>
  <si>
    <t>在职</t>
  </si>
  <si>
    <t>E002</t>
  </si>
  <si>
    <t>李娜</t>
  </si>
  <si>
    <t>高级工程师</t>
  </si>
  <si>
    <t>女</t>
  </si>
  <si>
    <t>固定期限</t>
  </si>
  <si>
    <t>E003</t>
  </si>
  <si>
    <t>王强</t>
  </si>
  <si>
    <t>工程师</t>
  </si>
  <si>
    <t>E004</t>
  </si>
  <si>
    <t>赵磊</t>
  </si>
  <si>
    <t>E005</t>
  </si>
  <si>
    <t>陈静</t>
  </si>
  <si>
    <t>市场部</t>
  </si>
  <si>
    <t>市场总监</t>
  </si>
  <si>
    <t>E006</t>
  </si>
  <si>
    <t>刘洋</t>
  </si>
  <si>
    <t>市场经理</t>
  </si>
  <si>
    <t>E007</t>
  </si>
  <si>
    <t>孙芳</t>
  </si>
  <si>
    <t>市场专员</t>
  </si>
  <si>
    <t>E008</t>
  </si>
  <si>
    <t>周涛</t>
  </si>
  <si>
    <t>财务部</t>
  </si>
  <si>
    <t>财务总监</t>
  </si>
  <si>
    <t>E009</t>
  </si>
  <si>
    <t>吴梅</t>
  </si>
  <si>
    <t>会计</t>
  </si>
  <si>
    <t>E010</t>
  </si>
  <si>
    <t>郑华</t>
  </si>
  <si>
    <t>出纳</t>
  </si>
  <si>
    <t>E011</t>
  </si>
  <si>
    <t>冯丽</t>
  </si>
  <si>
    <t>人事部</t>
  </si>
  <si>
    <t>人事总监</t>
  </si>
  <si>
    <t>E012</t>
  </si>
  <si>
    <t>陈刚</t>
  </si>
  <si>
    <t>招聘专员</t>
  </si>
  <si>
    <t>E013</t>
  </si>
  <si>
    <t>褚燕</t>
  </si>
  <si>
    <t>运营部</t>
  </si>
  <si>
    <t>运营总监</t>
  </si>
  <si>
    <t>E014</t>
  </si>
  <si>
    <t>卫东</t>
  </si>
  <si>
    <t>运营专员</t>
  </si>
  <si>
    <t>E015</t>
  </si>
  <si>
    <t>蒋涛</t>
  </si>
  <si>
    <t>XX 科技有限公司 — 2025年薪酬统计表</t>
  </si>
  <si>
    <t>基本工资</t>
  </si>
  <si>
    <t>岗位工资</t>
  </si>
  <si>
    <t>绩效工资</t>
  </si>
  <si>
    <t>餐补/交补</t>
  </si>
  <si>
    <t>应发合计</t>
  </si>
  <si>
    <t>社保个人</t>
  </si>
  <si>
    <t>个人所得税</t>
  </si>
  <si>
    <t>实发工资</t>
  </si>
  <si>
    <t>合  计</t>
  </si>
  <si>
    <t>XX 科技有限公司 — 2025年社保公积金明细</t>
  </si>
  <si>
    <t>养老保险</t>
  </si>
  <si>
    <t>医疗保险</t>
  </si>
  <si>
    <t>失业保险</t>
  </si>
  <si>
    <t>工伤保险</t>
  </si>
  <si>
    <t>生育保险</t>
  </si>
  <si>
    <t>住房公积金</t>
  </si>
  <si>
    <t>社保合计</t>
  </si>
  <si>
    <t>公积金合计</t>
  </si>
  <si>
    <t>养老(单位16%)</t>
  </si>
  <si>
    <t>养老(个人8%)</t>
  </si>
  <si>
    <t>医疗(单位8%)</t>
  </si>
  <si>
    <t>医疗(个人2%)</t>
  </si>
  <si>
    <t>失业(单位0.5%)</t>
  </si>
  <si>
    <t>失业(个人0.5%)</t>
  </si>
  <si>
    <t>工伤(单位0.4%)</t>
  </si>
  <si>
    <t>生育(单位0.8%)</t>
  </si>
  <si>
    <t>公积金(单位12%)</t>
  </si>
  <si>
    <t>公积金(个人12%)</t>
  </si>
  <si>
    <t>社保合计(个人)</t>
  </si>
  <si>
    <t>公积金合计(个人)</t>
  </si>
  <si>
    <t>XX 科技有限公司 — 2025年部门人员薪酬汇总</t>
  </si>
  <si>
    <t>人数</t>
  </si>
  <si>
    <t>社保个人合计</t>
  </si>
  <si>
    <t>个税合计</t>
  </si>
  <si>
    <t>实发合计</t>
  </si>
  <si>
    <t>社保公司合计</t>
  </si>
  <si>
    <t>公积金个人</t>
  </si>
  <si>
    <t>公积金公司</t>
  </si>
  <si>
    <t>XX 科技有限公司 — 2025年各部门薪酬数据透视</t>
  </si>
  <si>
    <t>▌ 薪酬汇总（按部门）</t>
  </si>
  <si>
    <t>行标签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</si>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</sst>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1"/>
      <color rgb="FFC00000"/>
      <name val="宋体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6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4" fontId="0" fillId="0" borderId="1" xfId="0" applyNumberFormat="1" applyBorder="1"/>
    <xf numFmtId="4" fontId="2" fillId="8" borderId="1" xfId="0" applyNumberFormat="1" applyFont="1" applyFill="1" applyBorder="1"/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4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1" fontId="0" fillId="14" borderId="1" xfId="0" applyNumberFormat="1" applyFill="1" applyBorder="1"/>
    <xf numFmtId="4" fontId="0" fillId="14" borderId="1" xfId="0" applyNumberFormat="1" applyFill="1" applyBorder="1"/>
    <xf numFmtId="1" fontId="0" fillId="5" borderId="1" xfId="0" applyNumberFormat="1" applyFill="1" applyBorder="1"/>
    <xf numFmtId="4" fontId="0" fillId="5" borderId="1" xfId="0" applyNumberFormat="1" applyFill="1" applyBorder="1"/>
    <xf numFmtId="1" fontId="2" fillId="11" borderId="1" xfId="0" applyNumberFormat="1" applyFont="1" applyFill="1" applyBorder="1"/>
    <xf numFmtId="0" fontId="0" fillId="14" borderId="1" xfId="0" applyFill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6" fillId="16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 applyAlignment="1">
      <alignment horizontal="left" indent="1"/>
    </xf>
    <xf numFmtId="4" fontId="0" fillId="0" borderId="0" xfId="0" applyNumberFormat="1" applyAlignment="1">
      <alignment horizontal="left" indent="2"/>
    </xf>
    <xf numFmtId="4" fontId="0" fillId="0" borderId="0" xfId="0" applyNumberFormat="1" applyAlignment="1">
      <alignment horizontal="left" indent="3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曾亚勇" refreshedDate="46148.484287384257" createdVersion="8" refreshedVersion="8" minRefreshableVersion="3" recordCount="15" xr:uid="{BD402C19-83FB-4073-A2C6-9DC6BD91E561}">
  <cacheSource type="worksheet">
    <worksheetSource ref="A2:K17" sheet="薪酬统计"/>
  </cacheSource>
  <cacheFields count="11">
    <cacheField name="编号" numFmtId="0">
      <sharedItems/>
    </cacheField>
    <cacheField name="姓名" numFmtId="0">
      <sharedItems/>
    </cacheField>
    <cacheField name="部门" numFmtId="0">
      <sharedItems count="5">
        <s v="研发部"/>
        <s v="市场部"/>
        <s v="财务部"/>
        <s v="人事部"/>
        <s v="运营部"/>
      </sharedItems>
    </cacheField>
    <cacheField name="基本工资" numFmtId="4">
      <sharedItems containsSemiMixedTypes="0" containsString="0" containsNumber="1" containsInteger="1" minValue="6500" maxValue="15000"/>
    </cacheField>
    <cacheField name="岗位工资" numFmtId="4">
      <sharedItems containsSemiMixedTypes="0" containsString="0" containsNumber="1" containsInteger="1" minValue="1500" maxValue="8000"/>
    </cacheField>
    <cacheField name="绩效工资" numFmtId="4">
      <sharedItems containsSemiMixedTypes="0" containsString="0" containsNumber="1" containsInteger="1" minValue="1500" maxValue="8000"/>
    </cacheField>
    <cacheField name="餐补/交补" numFmtId="4">
      <sharedItems containsSemiMixedTypes="0" containsString="0" containsNumber="1" containsInteger="1" minValue="500" maxValue="500"/>
    </cacheField>
    <cacheField name="应发合计" numFmtId="4">
      <sharedItems containsSemiMixedTypes="0" containsString="0" containsNumber="1" containsInteger="1" minValue="10000" maxValue="29500" count="12">
        <n v="29500"/>
        <n v="22000"/>
        <n v="16500"/>
        <n v="14500"/>
        <n v="19500"/>
        <n v="11500"/>
        <n v="24500"/>
        <n v="12500"/>
        <n v="10000"/>
        <n v="21500"/>
        <n v="12000"/>
        <n v="11000"/>
      </sharedItems>
    </cacheField>
    <cacheField name="社保个人" numFmtId="4">
      <sharedItems containsSemiMixedTypes="0" containsString="0" containsNumber="1" minValue="682.5" maxValue="1575"/>
    </cacheField>
    <cacheField name="个人所得税" numFmtId="4">
      <sharedItems containsSemiMixedTypes="0" containsString="0" containsNumber="1" minValue="129.53" maxValue="690.9" count="14">
        <n v="687.75"/>
        <n v="472.2"/>
        <n v="313.5"/>
        <n v="256.64999999999998"/>
        <n v="690.9"/>
        <n v="403.5"/>
        <n v="172.95"/>
        <n v="544.04999999999995"/>
        <n v="199.8"/>
        <n v="129.53"/>
        <n v="457.2"/>
        <n v="186.38"/>
        <n v="460.35"/>
        <n v="157.94999999999999"/>
      </sharedItems>
    </cacheField>
    <cacheField name="实发工资" numFmtId="4">
      <sharedItems containsSemiMixedTypes="0" containsString="0" containsNumber="1" minValue="9187.9699999999993" maxValue="27339.1" count="14">
        <n v="27237.25"/>
        <n v="20267.8"/>
        <n v="15136.5"/>
        <n v="13298.35"/>
        <n v="27339.1"/>
        <n v="18046.5"/>
        <n v="10592.05"/>
        <n v="22590.95"/>
        <n v="11460.2"/>
        <n v="9187.9699999999993"/>
        <n v="19782.8"/>
        <n v="11026.12"/>
        <n v="19884.650000000001"/>
        <n v="10107.0499999999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E001"/>
    <s v="张明"/>
    <x v="0"/>
    <n v="15000"/>
    <n v="8000"/>
    <n v="6000"/>
    <n v="500"/>
    <x v="0"/>
    <n v="1575"/>
    <x v="0"/>
    <x v="0"/>
  </r>
  <r>
    <s v="E002"/>
    <s v="李娜"/>
    <x v="0"/>
    <n v="12000"/>
    <n v="5000"/>
    <n v="4500"/>
    <n v="500"/>
    <x v="1"/>
    <n v="1260"/>
    <x v="1"/>
    <x v="1"/>
  </r>
  <r>
    <s v="E003"/>
    <s v="王强"/>
    <x v="0"/>
    <n v="10000"/>
    <n v="3000"/>
    <n v="3000"/>
    <n v="500"/>
    <x v="2"/>
    <n v="1050"/>
    <x v="2"/>
    <x v="2"/>
  </r>
  <r>
    <s v="E004"/>
    <s v="赵磊"/>
    <x v="0"/>
    <n v="9000"/>
    <n v="2500"/>
    <n v="2500"/>
    <n v="500"/>
    <x v="3"/>
    <n v="945"/>
    <x v="3"/>
    <x v="3"/>
  </r>
  <r>
    <s v="E005"/>
    <s v="陈静"/>
    <x v="1"/>
    <n v="14000"/>
    <n v="7000"/>
    <n v="8000"/>
    <n v="500"/>
    <x v="0"/>
    <n v="1470"/>
    <x v="4"/>
    <x v="4"/>
  </r>
  <r>
    <s v="E006"/>
    <s v="刘洋"/>
    <x v="1"/>
    <n v="10000"/>
    <n v="4000"/>
    <n v="5000"/>
    <n v="500"/>
    <x v="4"/>
    <n v="1050"/>
    <x v="5"/>
    <x v="5"/>
  </r>
  <r>
    <s v="E007"/>
    <s v="孙芳"/>
    <x v="1"/>
    <n v="7000"/>
    <n v="2000"/>
    <n v="2000"/>
    <n v="500"/>
    <x v="5"/>
    <n v="735"/>
    <x v="6"/>
    <x v="6"/>
  </r>
  <r>
    <s v="E008"/>
    <s v="周涛"/>
    <x v="2"/>
    <n v="13000"/>
    <n v="6000"/>
    <n v="5000"/>
    <n v="500"/>
    <x v="6"/>
    <n v="1365"/>
    <x v="7"/>
    <x v="7"/>
  </r>
  <r>
    <s v="E009"/>
    <s v="吴梅"/>
    <x v="2"/>
    <n v="8000"/>
    <n v="2000"/>
    <n v="2000"/>
    <n v="500"/>
    <x v="7"/>
    <n v="840"/>
    <x v="8"/>
    <x v="8"/>
  </r>
  <r>
    <s v="E010"/>
    <s v="郑华"/>
    <x v="2"/>
    <n v="6500"/>
    <n v="1500"/>
    <n v="1500"/>
    <n v="500"/>
    <x v="8"/>
    <n v="682.5"/>
    <x v="9"/>
    <x v="9"/>
  </r>
  <r>
    <s v="E011"/>
    <s v="冯丽"/>
    <x v="3"/>
    <n v="12000"/>
    <n v="5000"/>
    <n v="4000"/>
    <n v="500"/>
    <x v="9"/>
    <n v="1260"/>
    <x v="10"/>
    <x v="10"/>
  </r>
  <r>
    <s v="E012"/>
    <s v="陈刚"/>
    <x v="3"/>
    <n v="7500"/>
    <n v="2000"/>
    <n v="2000"/>
    <n v="500"/>
    <x v="10"/>
    <n v="787.5"/>
    <x v="11"/>
    <x v="11"/>
  </r>
  <r>
    <s v="E013"/>
    <s v="褚燕"/>
    <x v="4"/>
    <n v="11000"/>
    <n v="5000"/>
    <n v="5000"/>
    <n v="500"/>
    <x v="9"/>
    <n v="1155"/>
    <x v="12"/>
    <x v="12"/>
  </r>
  <r>
    <s v="E014"/>
    <s v="卫东"/>
    <x v="4"/>
    <n v="7000"/>
    <n v="2000"/>
    <n v="2000"/>
    <n v="500"/>
    <x v="5"/>
    <n v="735"/>
    <x v="6"/>
    <x v="6"/>
  </r>
  <r>
    <s v="E015"/>
    <s v="蒋涛"/>
    <x v="4"/>
    <n v="7000"/>
    <n v="2000"/>
    <n v="1500"/>
    <n v="500"/>
    <x v="11"/>
    <n v="735"/>
    <x v="13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45859C-174E-423A-8180-8546A1CE6A5F}" name="薪酬透视" cacheId="6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A54" firstHeaderRow="1" firstDataRow="1" firstDataCol="1"/>
  <pivotFields count="11">
    <pivotField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numFmtId="4" showAll="0"/>
    <pivotField numFmtId="4" showAll="0"/>
    <pivotField numFmtId="4" showAll="0"/>
    <pivotField numFmtId="4" showAll="0"/>
    <pivotField axis="axisRow" numFmtId="4" showAll="0">
      <items count="13">
        <item x="8"/>
        <item x="11"/>
        <item x="5"/>
        <item x="10"/>
        <item x="7"/>
        <item x="3"/>
        <item x="2"/>
        <item x="4"/>
        <item x="9"/>
        <item x="1"/>
        <item x="6"/>
        <item x="0"/>
        <item t="default"/>
      </items>
    </pivotField>
    <pivotField numFmtId="4" showAll="0"/>
    <pivotField axis="axisRow" numFmtId="4" showAll="0">
      <items count="15">
        <item x="9"/>
        <item x="13"/>
        <item x="6"/>
        <item x="11"/>
        <item x="8"/>
        <item x="3"/>
        <item x="2"/>
        <item x="5"/>
        <item x="10"/>
        <item x="12"/>
        <item x="1"/>
        <item x="7"/>
        <item x="0"/>
        <item x="4"/>
        <item t="default"/>
      </items>
    </pivotField>
    <pivotField axis="axisRow" numFmtId="4" showAll="0">
      <items count="15">
        <item x="9"/>
        <item x="13"/>
        <item x="6"/>
        <item x="11"/>
        <item x="8"/>
        <item x="3"/>
        <item x="2"/>
        <item x="5"/>
        <item x="10"/>
        <item x="12"/>
        <item x="1"/>
        <item x="7"/>
        <item x="0"/>
        <item x="4"/>
        <item t="default"/>
      </items>
    </pivotField>
  </pivotFields>
  <rowFields count="4">
    <field x="2"/>
    <field x="7"/>
    <field x="10"/>
    <field x="9"/>
  </rowFields>
  <rowItems count="51">
    <i>
      <x/>
    </i>
    <i r="1">
      <x/>
    </i>
    <i r="2">
      <x/>
    </i>
    <i r="3">
      <x/>
    </i>
    <i r="1">
      <x v="4"/>
    </i>
    <i r="2">
      <x v="4"/>
    </i>
    <i r="3">
      <x v="4"/>
    </i>
    <i r="1">
      <x v="10"/>
    </i>
    <i r="2">
      <x v="11"/>
    </i>
    <i r="3">
      <x v="11"/>
    </i>
    <i>
      <x v="1"/>
    </i>
    <i r="1">
      <x v="3"/>
    </i>
    <i r="2">
      <x v="3"/>
    </i>
    <i r="3">
      <x v="3"/>
    </i>
    <i r="1">
      <x v="8"/>
    </i>
    <i r="2">
      <x v="8"/>
    </i>
    <i r="3">
      <x v="8"/>
    </i>
    <i>
      <x v="2"/>
    </i>
    <i r="1">
      <x v="2"/>
    </i>
    <i r="2">
      <x v="2"/>
    </i>
    <i r="3">
      <x v="2"/>
    </i>
    <i r="1">
      <x v="7"/>
    </i>
    <i r="2">
      <x v="7"/>
    </i>
    <i r="3">
      <x v="7"/>
    </i>
    <i r="1">
      <x v="11"/>
    </i>
    <i r="2">
      <x v="13"/>
    </i>
    <i r="3">
      <x v="13"/>
    </i>
    <i>
      <x v="3"/>
    </i>
    <i r="1">
      <x v="5"/>
    </i>
    <i r="2">
      <x v="5"/>
    </i>
    <i r="3">
      <x v="5"/>
    </i>
    <i r="1">
      <x v="6"/>
    </i>
    <i r="2">
      <x v="6"/>
    </i>
    <i r="3">
      <x v="6"/>
    </i>
    <i r="1">
      <x v="9"/>
    </i>
    <i r="2">
      <x v="10"/>
    </i>
    <i r="3">
      <x v="10"/>
    </i>
    <i r="1">
      <x v="11"/>
    </i>
    <i r="2">
      <x v="12"/>
    </i>
    <i r="3">
      <x v="12"/>
    </i>
    <i>
      <x v="4"/>
    </i>
    <i r="1">
      <x v="1"/>
    </i>
    <i r="2">
      <x v="1"/>
    </i>
    <i r="3">
      <x v="1"/>
    </i>
    <i r="1">
      <x v="2"/>
    </i>
    <i r="2">
      <x v="2"/>
    </i>
    <i r="3">
      <x v="2"/>
    </i>
    <i r="1">
      <x v="8"/>
    </i>
    <i r="2">
      <x v="9"/>
    </i>
    <i r="3">
      <x v="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F178-1D5B-489A-BF94-5C8349A94967}">
  <sheetPr>
    <tabColor rgb="FF7030A0"/>
  </sheetPr>
  <dimension ref="A1:I8"/>
  <sheetViews>
    <sheetView workbookViewId="0"/>
  </sheetViews>
  <sheetFormatPr defaultRowHeight="14" x14ac:dyDescent="0.25"/>
  <cols>
    <col min="1" max="1" width="7.6328125" bestFit="1" customWidth="1"/>
    <col min="2" max="2" width="5.453125" bestFit="1" customWidth="1"/>
    <col min="3" max="3" width="12.36328125" bestFit="1" customWidth="1"/>
    <col min="4" max="4" width="14.08984375" bestFit="1" customWidth="1"/>
    <col min="5" max="5" width="10" bestFit="1" customWidth="1"/>
    <col min="6" max="6" width="12.36328125" bestFit="1" customWidth="1"/>
    <col min="7" max="7" width="14.08984375" bestFit="1" customWidth="1"/>
    <col min="8" max="9" width="11.90625" bestFit="1" customWidth="1"/>
  </cols>
  <sheetData>
    <row r="1" spans="1:9" ht="17.5" x14ac:dyDescent="0.25">
      <c r="A1" s="25" t="s">
        <v>93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5" t="s">
        <v>3</v>
      </c>
      <c r="B2" s="15" t="s">
        <v>94</v>
      </c>
      <c r="C2" s="15" t="s">
        <v>67</v>
      </c>
      <c r="D2" s="15" t="s">
        <v>95</v>
      </c>
      <c r="E2" s="15" t="s">
        <v>96</v>
      </c>
      <c r="F2" s="15" t="s">
        <v>97</v>
      </c>
      <c r="G2" s="15" t="s">
        <v>98</v>
      </c>
      <c r="H2" s="15" t="s">
        <v>99</v>
      </c>
      <c r="I2" s="15" t="s">
        <v>100</v>
      </c>
    </row>
    <row r="3" spans="1:9" x14ac:dyDescent="0.25">
      <c r="A3" s="21" t="s">
        <v>11</v>
      </c>
      <c r="B3" s="16">
        <f>COUNTIF(薪酬统计!C:C,A3)</f>
        <v>4</v>
      </c>
      <c r="C3" s="17">
        <f>SUMIF(薪酬统计!C:C,A3,薪酬统计!H:H)</f>
        <v>82500</v>
      </c>
      <c r="D3" s="17">
        <f>SUMIF(薪酬统计!C:C,A3,薪酬统计!I:I)</f>
        <v>4830</v>
      </c>
      <c r="E3" s="17">
        <f>SUMIF(薪酬统计!C:C,A3,薪酬统计!J:J)</f>
        <v>1730.1</v>
      </c>
      <c r="F3" s="17">
        <f>SUMIF(薪酬统计!C:C,A3,薪酬统计!K:K)</f>
        <v>75939.900000000009</v>
      </c>
      <c r="G3" s="17">
        <f>SUMIF(社保明细!C:C,A3,社保明细!D:D)+SUMIF(社保明细!C:C,A3,社保明细!F:F)+SUMIF(社保明细!C:C,A3,社保明细!H:H)+SUMIF(社保明细!C:C,A3,社保明细!J:J)+SUMIF(社保明细!C:C,A3,社保明细!K:K)</f>
        <v>11822</v>
      </c>
      <c r="H3" s="17">
        <f>SUMIF(社保明细!C:C,A3,社保明细!N:N)</f>
        <v>5520</v>
      </c>
      <c r="I3" s="17">
        <f>SUMIF(社保明细!C:C,A3,社保明细!M:M)</f>
        <v>5520</v>
      </c>
    </row>
    <row r="4" spans="1:9" x14ac:dyDescent="0.25">
      <c r="A4" s="4" t="s">
        <v>28</v>
      </c>
      <c r="B4" s="18">
        <f>COUNTIF(薪酬统计!C:C,A4)</f>
        <v>3</v>
      </c>
      <c r="C4" s="19">
        <f>SUMIF(薪酬统计!C:C,A4,薪酬统计!H:H)</f>
        <v>60500</v>
      </c>
      <c r="D4" s="19">
        <f>SUMIF(薪酬统计!C:C,A4,薪酬统计!I:I)</f>
        <v>3255</v>
      </c>
      <c r="E4" s="19">
        <f>SUMIF(薪酬统计!C:C,A4,薪酬统计!J:J)</f>
        <v>1267.3500000000001</v>
      </c>
      <c r="F4" s="19">
        <f>SUMIF(薪酬统计!C:C,A4,薪酬统计!K:K)</f>
        <v>55977.649999999994</v>
      </c>
      <c r="G4" s="19">
        <f>SUMIF(社保明细!C:C,A4,社保明细!D:D)+SUMIF(社保明细!C:C,A4,社保明细!F:F)+SUMIF(社保明细!C:C,A4,社保明细!H:H)+SUMIF(社保明细!C:C,A4,社保明细!J:J)+SUMIF(社保明细!C:C,A4,社保明细!K:K)</f>
        <v>7967</v>
      </c>
      <c r="H4" s="19">
        <f>SUMIF(社保明细!C:C,A4,社保明细!N:N)</f>
        <v>3720</v>
      </c>
      <c r="I4" s="19">
        <f>SUMIF(社保明细!C:C,A4,社保明细!M:M)</f>
        <v>3720</v>
      </c>
    </row>
    <row r="5" spans="1:9" x14ac:dyDescent="0.25">
      <c r="A5" s="21" t="s">
        <v>38</v>
      </c>
      <c r="B5" s="16">
        <f>COUNTIF(薪酬统计!C:C,A5)</f>
        <v>3</v>
      </c>
      <c r="C5" s="17">
        <f>SUMIF(薪酬统计!C:C,A5,薪酬统计!H:H)</f>
        <v>47000</v>
      </c>
      <c r="D5" s="17">
        <f>SUMIF(薪酬统计!C:C,A5,薪酬统计!I:I)</f>
        <v>2887.5</v>
      </c>
      <c r="E5" s="17">
        <f>SUMIF(薪酬统计!C:C,A5,薪酬统计!J:J)</f>
        <v>873.37999999999988</v>
      </c>
      <c r="F5" s="17">
        <f>SUMIF(薪酬统计!C:C,A5,薪酬统计!K:K)</f>
        <v>43239.12</v>
      </c>
      <c r="G5" s="17">
        <f>SUMIF(社保明细!C:C,A5,社保明细!D:D)+SUMIF(社保明细!C:C,A5,社保明细!F:F)+SUMIF(社保明细!C:C,A5,社保明细!H:H)+SUMIF(社保明细!C:C,A5,社保明细!J:J)+SUMIF(社保明细!C:C,A5,社保明细!K:K)</f>
        <v>7067.5</v>
      </c>
      <c r="H5" s="17">
        <f>SUMIF(社保明细!C:C,A5,社保明细!N:N)</f>
        <v>3300</v>
      </c>
      <c r="I5" s="17">
        <f>SUMIF(社保明细!C:C,A5,社保明细!M:M)</f>
        <v>3300</v>
      </c>
    </row>
    <row r="6" spans="1:9" x14ac:dyDescent="0.25">
      <c r="A6" s="4" t="s">
        <v>48</v>
      </c>
      <c r="B6" s="18">
        <f>COUNTIF(薪酬统计!C:C,A6)</f>
        <v>2</v>
      </c>
      <c r="C6" s="19">
        <f>SUMIF(薪酬统计!C:C,A6,薪酬统计!H:H)</f>
        <v>33500</v>
      </c>
      <c r="D6" s="19">
        <f>SUMIF(薪酬统计!C:C,A6,薪酬统计!I:I)</f>
        <v>2047.5</v>
      </c>
      <c r="E6" s="19">
        <f>SUMIF(薪酬统计!C:C,A6,薪酬统计!J:J)</f>
        <v>643.57999999999993</v>
      </c>
      <c r="F6" s="19">
        <f>SUMIF(薪酬统计!C:C,A6,薪酬统计!K:K)</f>
        <v>30808.92</v>
      </c>
      <c r="G6" s="19">
        <f>SUMIF(社保明细!C:C,A6,社保明细!D:D)+SUMIF(社保明细!C:C,A6,社保明细!F:F)+SUMIF(社保明细!C:C,A6,社保明细!H:H)+SUMIF(社保明细!C:C,A6,社保明细!J:J)+SUMIF(社保明细!C:C,A6,社保明细!K:K)</f>
        <v>5011.5</v>
      </c>
      <c r="H6" s="19">
        <f>SUMIF(社保明细!C:C,A6,社保明细!N:N)</f>
        <v>2340</v>
      </c>
      <c r="I6" s="19">
        <f>SUMIF(社保明细!C:C,A6,社保明细!M:M)</f>
        <v>2340</v>
      </c>
    </row>
    <row r="7" spans="1:9" x14ac:dyDescent="0.25">
      <c r="A7" s="21" t="s">
        <v>55</v>
      </c>
      <c r="B7" s="16">
        <f>COUNTIF(薪酬统计!C:C,A7)</f>
        <v>3</v>
      </c>
      <c r="C7" s="17">
        <f>SUMIF(薪酬统计!C:C,A7,薪酬统计!H:H)</f>
        <v>44000</v>
      </c>
      <c r="D7" s="17">
        <f>SUMIF(薪酬统计!C:C,A7,薪酬统计!I:I)</f>
        <v>2625</v>
      </c>
      <c r="E7" s="17">
        <f>SUMIF(薪酬统计!C:C,A7,薪酬统计!J:J)</f>
        <v>791.25</v>
      </c>
      <c r="F7" s="17">
        <f>SUMIF(薪酬统计!C:C,A7,薪酬统计!K:K)</f>
        <v>40583.75</v>
      </c>
      <c r="G7" s="17">
        <f>SUMIF(社保明细!C:C,A7,社保明细!D:D)+SUMIF(社保明细!C:C,A7,社保明细!F:F)+SUMIF(社保明细!C:C,A7,社保明细!H:H)+SUMIF(社保明细!C:C,A7,社保明细!J:J)+SUMIF(社保明细!C:C,A7,社保明细!K:K)</f>
        <v>6425</v>
      </c>
      <c r="H7" s="17">
        <f>SUMIF(社保明细!C:C,A7,社保明细!N:N)</f>
        <v>3000</v>
      </c>
      <c r="I7" s="17">
        <f>SUMIF(社保明细!C:C,A7,社保明细!M:M)</f>
        <v>3000</v>
      </c>
    </row>
    <row r="8" spans="1:9" x14ac:dyDescent="0.25">
      <c r="A8" s="14" t="s">
        <v>71</v>
      </c>
      <c r="B8" s="20">
        <f t="shared" ref="B8:I8" si="0">SUM(B3:B7)</f>
        <v>15</v>
      </c>
      <c r="C8" s="13">
        <f t="shared" si="0"/>
        <v>267500</v>
      </c>
      <c r="D8" s="13">
        <f t="shared" si="0"/>
        <v>15645</v>
      </c>
      <c r="E8" s="13">
        <f t="shared" si="0"/>
        <v>5305.66</v>
      </c>
      <c r="F8" s="13">
        <f t="shared" si="0"/>
        <v>246549.33999999997</v>
      </c>
      <c r="G8" s="13">
        <f t="shared" si="0"/>
        <v>38293</v>
      </c>
      <c r="H8" s="13">
        <f t="shared" si="0"/>
        <v>17880</v>
      </c>
      <c r="I8" s="13">
        <f t="shared" si="0"/>
        <v>17880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C524-346D-4AFE-BD68-EDD464C82FA7}">
  <sheetPr>
    <tabColor rgb="FFC00000"/>
  </sheetPr>
  <dimension ref="A1:H54"/>
  <sheetViews>
    <sheetView tabSelected="1" workbookViewId="0"/>
  </sheetViews>
  <sheetFormatPr defaultRowHeight="14" x14ac:dyDescent="0.25"/>
  <cols>
    <col min="1" max="1" width="20.54296875" bestFit="1" customWidth="1"/>
  </cols>
  <sheetData>
    <row r="1" spans="1:8" ht="34" customHeight="1" x14ac:dyDescent="0.25">
      <c r="A1" s="28" t="s">
        <v>101</v>
      </c>
      <c r="B1" s="23"/>
      <c r="C1" s="23"/>
      <c r="D1" s="23"/>
      <c r="E1" s="23"/>
      <c r="F1" s="23"/>
      <c r="G1" s="23"/>
      <c r="H1" s="23"/>
    </row>
    <row r="2" spans="1:8" ht="22" customHeight="1" x14ac:dyDescent="0.25">
      <c r="A2" s="29" t="s">
        <v>102</v>
      </c>
      <c r="B2" s="29"/>
      <c r="C2" s="29"/>
      <c r="D2" s="29"/>
      <c r="E2" s="29"/>
      <c r="F2" s="29"/>
      <c r="G2" s="29"/>
      <c r="H2" s="29"/>
    </row>
    <row r="3" spans="1:8" x14ac:dyDescent="0.25">
      <c r="A3" s="30" t="s">
        <v>103</v>
      </c>
    </row>
    <row r="4" spans="1:8" x14ac:dyDescent="0.25">
      <c r="A4" s="31" t="s">
        <v>38</v>
      </c>
    </row>
    <row r="5" spans="1:8" x14ac:dyDescent="0.25">
      <c r="A5" s="32">
        <v>10000</v>
      </c>
    </row>
    <row r="6" spans="1:8" x14ac:dyDescent="0.25">
      <c r="A6" s="33">
        <v>9187.9699999999993</v>
      </c>
    </row>
    <row r="7" spans="1:8" x14ac:dyDescent="0.25">
      <c r="A7" s="34">
        <v>129.53</v>
      </c>
    </row>
    <row r="8" spans="1:8" x14ac:dyDescent="0.25">
      <c r="A8" s="32">
        <v>12500</v>
      </c>
    </row>
    <row r="9" spans="1:8" x14ac:dyDescent="0.25">
      <c r="A9" s="33">
        <v>11460.2</v>
      </c>
    </row>
    <row r="10" spans="1:8" x14ac:dyDescent="0.25">
      <c r="A10" s="34">
        <v>199.8</v>
      </c>
    </row>
    <row r="11" spans="1:8" x14ac:dyDescent="0.25">
      <c r="A11" s="32">
        <v>24500</v>
      </c>
    </row>
    <row r="12" spans="1:8" x14ac:dyDescent="0.25">
      <c r="A12" s="33">
        <v>22590.95</v>
      </c>
    </row>
    <row r="13" spans="1:8" x14ac:dyDescent="0.25">
      <c r="A13" s="34">
        <v>544.04999999999995</v>
      </c>
    </row>
    <row r="14" spans="1:8" x14ac:dyDescent="0.25">
      <c r="A14" s="31" t="s">
        <v>48</v>
      </c>
    </row>
    <row r="15" spans="1:8" x14ac:dyDescent="0.25">
      <c r="A15" s="32">
        <v>12000</v>
      </c>
    </row>
    <row r="16" spans="1:8" x14ac:dyDescent="0.25">
      <c r="A16" s="33">
        <v>11026.12</v>
      </c>
    </row>
    <row r="17" spans="1:1" x14ac:dyDescent="0.25">
      <c r="A17" s="34">
        <v>186.38</v>
      </c>
    </row>
    <row r="18" spans="1:1" x14ac:dyDescent="0.25">
      <c r="A18" s="32">
        <v>21500</v>
      </c>
    </row>
    <row r="19" spans="1:1" x14ac:dyDescent="0.25">
      <c r="A19" s="33">
        <v>19782.8</v>
      </c>
    </row>
    <row r="20" spans="1:1" x14ac:dyDescent="0.25">
      <c r="A20" s="34">
        <v>457.2</v>
      </c>
    </row>
    <row r="21" spans="1:1" x14ac:dyDescent="0.25">
      <c r="A21" s="31" t="s">
        <v>28</v>
      </c>
    </row>
    <row r="22" spans="1:1" x14ac:dyDescent="0.25">
      <c r="A22" s="32">
        <v>11500</v>
      </c>
    </row>
    <row r="23" spans="1:1" x14ac:dyDescent="0.25">
      <c r="A23" s="33">
        <v>10592.05</v>
      </c>
    </row>
    <row r="24" spans="1:1" x14ac:dyDescent="0.25">
      <c r="A24" s="34">
        <v>172.95</v>
      </c>
    </row>
    <row r="25" spans="1:1" x14ac:dyDescent="0.25">
      <c r="A25" s="32">
        <v>19500</v>
      </c>
    </row>
    <row r="26" spans="1:1" x14ac:dyDescent="0.25">
      <c r="A26" s="33">
        <v>18046.5</v>
      </c>
    </row>
    <row r="27" spans="1:1" x14ac:dyDescent="0.25">
      <c r="A27" s="34">
        <v>403.5</v>
      </c>
    </row>
    <row r="28" spans="1:1" x14ac:dyDescent="0.25">
      <c r="A28" s="32">
        <v>29500</v>
      </c>
    </row>
    <row r="29" spans="1:1" x14ac:dyDescent="0.25">
      <c r="A29" s="33">
        <v>27339.1</v>
      </c>
    </row>
    <row r="30" spans="1:1" x14ac:dyDescent="0.25">
      <c r="A30" s="34">
        <v>690.9</v>
      </c>
    </row>
    <row r="31" spans="1:1" x14ac:dyDescent="0.25">
      <c r="A31" s="31" t="s">
        <v>11</v>
      </c>
    </row>
    <row r="32" spans="1:1" x14ac:dyDescent="0.25">
      <c r="A32" s="32">
        <v>14500</v>
      </c>
    </row>
    <row r="33" spans="1:1" x14ac:dyDescent="0.25">
      <c r="A33" s="33">
        <v>13298.35</v>
      </c>
    </row>
    <row r="34" spans="1:1" x14ac:dyDescent="0.25">
      <c r="A34" s="34">
        <v>256.64999999999998</v>
      </c>
    </row>
    <row r="35" spans="1:1" x14ac:dyDescent="0.25">
      <c r="A35" s="32">
        <v>16500</v>
      </c>
    </row>
    <row r="36" spans="1:1" x14ac:dyDescent="0.25">
      <c r="A36" s="33">
        <v>15136.5</v>
      </c>
    </row>
    <row r="37" spans="1:1" x14ac:dyDescent="0.25">
      <c r="A37" s="34">
        <v>313.5</v>
      </c>
    </row>
    <row r="38" spans="1:1" x14ac:dyDescent="0.25">
      <c r="A38" s="32">
        <v>22000</v>
      </c>
    </row>
    <row r="39" spans="1:1" x14ac:dyDescent="0.25">
      <c r="A39" s="33">
        <v>20267.8</v>
      </c>
    </row>
    <row r="40" spans="1:1" x14ac:dyDescent="0.25">
      <c r="A40" s="34">
        <v>472.2</v>
      </c>
    </row>
    <row r="41" spans="1:1" x14ac:dyDescent="0.25">
      <c r="A41" s="32">
        <v>29500</v>
      </c>
    </row>
    <row r="42" spans="1:1" x14ac:dyDescent="0.25">
      <c r="A42" s="33">
        <v>27237.25</v>
      </c>
    </row>
    <row r="43" spans="1:1" x14ac:dyDescent="0.25">
      <c r="A43" s="34">
        <v>687.75</v>
      </c>
    </row>
    <row r="44" spans="1:1" x14ac:dyDescent="0.25">
      <c r="A44" s="31" t="s">
        <v>55</v>
      </c>
    </row>
    <row r="45" spans="1:1" x14ac:dyDescent="0.25">
      <c r="A45" s="32">
        <v>11000</v>
      </c>
    </row>
    <row r="46" spans="1:1" x14ac:dyDescent="0.25">
      <c r="A46" s="33">
        <v>10107.049999999999</v>
      </c>
    </row>
    <row r="47" spans="1:1" x14ac:dyDescent="0.25">
      <c r="A47" s="34">
        <v>157.94999999999999</v>
      </c>
    </row>
    <row r="48" spans="1:1" x14ac:dyDescent="0.25">
      <c r="A48" s="32">
        <v>11500</v>
      </c>
    </row>
    <row r="49" spans="1:1" x14ac:dyDescent="0.25">
      <c r="A49" s="33">
        <v>10592.05</v>
      </c>
    </row>
    <row r="50" spans="1:1" x14ac:dyDescent="0.25">
      <c r="A50" s="34">
        <v>172.95</v>
      </c>
    </row>
    <row r="51" spans="1:1" x14ac:dyDescent="0.25">
      <c r="A51" s="32">
        <v>21500</v>
      </c>
    </row>
    <row r="52" spans="1:1" x14ac:dyDescent="0.25">
      <c r="A52" s="33">
        <v>19884.650000000001</v>
      </c>
    </row>
    <row r="53" spans="1:1" x14ac:dyDescent="0.25">
      <c r="A53" s="34">
        <v>460.35</v>
      </c>
    </row>
    <row r="54" spans="1:1" x14ac:dyDescent="0.25">
      <c r="A54" s="31" t="s">
        <v>104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79F9-1EE4-466B-B917-D7BFD0F03CA4}">
  <sheetPr>
    <tabColor rgb="FF70AD47"/>
  </sheetPr>
  <dimension ref="A1:P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5.54296875" bestFit="1" customWidth="1"/>
    <col min="5" max="7" width="14.36328125" bestFit="1" customWidth="1"/>
    <col min="8" max="11" width="16.7265625" bestFit="1" customWidth="1"/>
    <col min="13" max="14" width="17.7265625" bestFit="1" customWidth="1"/>
    <col min="15" max="15" width="16.453125" bestFit="1" customWidth="1"/>
    <col min="16" max="16" width="18.7265625" bestFit="1" customWidth="1"/>
  </cols>
  <sheetData>
    <row r="1" spans="1:16" ht="17.5" x14ac:dyDescent="0.25">
      <c r="A1" s="22" t="s">
        <v>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11" t="s">
        <v>1</v>
      </c>
      <c r="B2" s="11" t="s">
        <v>2</v>
      </c>
      <c r="C2" s="11" t="s">
        <v>3</v>
      </c>
      <c r="D2" s="24" t="s">
        <v>73</v>
      </c>
      <c r="E2" s="24"/>
      <c r="F2" s="24" t="s">
        <v>74</v>
      </c>
      <c r="G2" s="24"/>
      <c r="H2" s="24" t="s">
        <v>75</v>
      </c>
      <c r="I2" s="24"/>
      <c r="J2" s="11" t="s">
        <v>76</v>
      </c>
      <c r="K2" s="11" t="s">
        <v>77</v>
      </c>
      <c r="L2" s="11"/>
      <c r="M2" s="24" t="s">
        <v>78</v>
      </c>
      <c r="N2" s="24"/>
      <c r="O2" s="11" t="s">
        <v>79</v>
      </c>
      <c r="P2" s="11" t="s">
        <v>80</v>
      </c>
    </row>
    <row r="3" spans="1:16" x14ac:dyDescent="0.25">
      <c r="A3" s="12" t="s">
        <v>1</v>
      </c>
      <c r="B3" s="12" t="s">
        <v>2</v>
      </c>
      <c r="C3" s="12" t="s">
        <v>3</v>
      </c>
      <c r="D3" s="12" t="s">
        <v>81</v>
      </c>
      <c r="E3" s="12" t="s">
        <v>82</v>
      </c>
      <c r="F3" s="12" t="s">
        <v>83</v>
      </c>
      <c r="G3" s="12" t="s">
        <v>84</v>
      </c>
      <c r="H3" s="12" t="s">
        <v>85</v>
      </c>
      <c r="I3" s="12" t="s">
        <v>86</v>
      </c>
      <c r="J3" s="12" t="s">
        <v>87</v>
      </c>
      <c r="K3" s="12" t="s">
        <v>88</v>
      </c>
      <c r="L3" s="12"/>
      <c r="M3" s="12" t="s">
        <v>89</v>
      </c>
      <c r="N3" s="12" t="s">
        <v>90</v>
      </c>
      <c r="O3" s="12" t="s">
        <v>91</v>
      </c>
      <c r="P3" s="12" t="s">
        <v>92</v>
      </c>
    </row>
    <row r="4" spans="1:16" x14ac:dyDescent="0.25">
      <c r="A4" s="9" t="s">
        <v>9</v>
      </c>
      <c r="B4" s="9" t="s">
        <v>10</v>
      </c>
      <c r="C4" s="9" t="s">
        <v>11</v>
      </c>
      <c r="D4" s="7">
        <v>2400</v>
      </c>
      <c r="E4" s="7">
        <v>1200</v>
      </c>
      <c r="F4" s="7">
        <v>1200</v>
      </c>
      <c r="G4" s="7">
        <v>300</v>
      </c>
      <c r="H4" s="7">
        <v>75</v>
      </c>
      <c r="I4" s="7">
        <v>75</v>
      </c>
      <c r="J4" s="7">
        <v>60</v>
      </c>
      <c r="K4" s="7">
        <v>120</v>
      </c>
      <c r="L4" s="7"/>
      <c r="M4" s="7">
        <v>1800</v>
      </c>
      <c r="N4" s="7">
        <v>1800</v>
      </c>
      <c r="O4" s="7">
        <f t="shared" ref="O4:O18" si="0">E4+G4+I4</f>
        <v>1575</v>
      </c>
      <c r="P4" s="7">
        <f t="shared" ref="P4:P18" si="1">N4</f>
        <v>1800</v>
      </c>
    </row>
    <row r="5" spans="1:16" x14ac:dyDescent="0.25">
      <c r="A5" s="9" t="s">
        <v>16</v>
      </c>
      <c r="B5" s="9" t="s">
        <v>17</v>
      </c>
      <c r="C5" s="9" t="s">
        <v>11</v>
      </c>
      <c r="D5" s="7">
        <v>1920</v>
      </c>
      <c r="E5" s="7">
        <v>960</v>
      </c>
      <c r="F5" s="7">
        <v>960</v>
      </c>
      <c r="G5" s="7">
        <v>240</v>
      </c>
      <c r="H5" s="7">
        <v>60</v>
      </c>
      <c r="I5" s="7">
        <v>60</v>
      </c>
      <c r="J5" s="7">
        <v>48</v>
      </c>
      <c r="K5" s="7">
        <v>96</v>
      </c>
      <c r="L5" s="7"/>
      <c r="M5" s="7">
        <v>1440</v>
      </c>
      <c r="N5" s="7">
        <v>1440</v>
      </c>
      <c r="O5" s="7">
        <f t="shared" si="0"/>
        <v>1260</v>
      </c>
      <c r="P5" s="7">
        <f t="shared" si="1"/>
        <v>1440</v>
      </c>
    </row>
    <row r="6" spans="1:16" x14ac:dyDescent="0.25">
      <c r="A6" s="9" t="s">
        <v>21</v>
      </c>
      <c r="B6" s="9" t="s">
        <v>22</v>
      </c>
      <c r="C6" s="9" t="s">
        <v>11</v>
      </c>
      <c r="D6" s="7">
        <v>1600</v>
      </c>
      <c r="E6" s="7">
        <v>800</v>
      </c>
      <c r="F6" s="7">
        <v>800</v>
      </c>
      <c r="G6" s="7">
        <v>200</v>
      </c>
      <c r="H6" s="7">
        <v>50</v>
      </c>
      <c r="I6" s="7">
        <v>50</v>
      </c>
      <c r="J6" s="7">
        <v>40</v>
      </c>
      <c r="K6" s="7">
        <v>80</v>
      </c>
      <c r="L6" s="7"/>
      <c r="M6" s="7">
        <v>1200</v>
      </c>
      <c r="N6" s="7">
        <v>1200</v>
      </c>
      <c r="O6" s="7">
        <f t="shared" si="0"/>
        <v>1050</v>
      </c>
      <c r="P6" s="7">
        <f t="shared" si="1"/>
        <v>1200</v>
      </c>
    </row>
    <row r="7" spans="1:16" x14ac:dyDescent="0.25">
      <c r="A7" s="9" t="s">
        <v>24</v>
      </c>
      <c r="B7" s="9" t="s">
        <v>25</v>
      </c>
      <c r="C7" s="9" t="s">
        <v>11</v>
      </c>
      <c r="D7" s="7">
        <v>1440</v>
      </c>
      <c r="E7" s="7">
        <v>720</v>
      </c>
      <c r="F7" s="7">
        <v>720</v>
      </c>
      <c r="G7" s="7">
        <v>180</v>
      </c>
      <c r="H7" s="7">
        <v>45</v>
      </c>
      <c r="I7" s="7">
        <v>45</v>
      </c>
      <c r="J7" s="7">
        <v>36</v>
      </c>
      <c r="K7" s="7">
        <v>72</v>
      </c>
      <c r="L7" s="7"/>
      <c r="M7" s="7">
        <v>1080</v>
      </c>
      <c r="N7" s="7">
        <v>1080</v>
      </c>
      <c r="O7" s="7">
        <f t="shared" si="0"/>
        <v>945</v>
      </c>
      <c r="P7" s="7">
        <f t="shared" si="1"/>
        <v>1080</v>
      </c>
    </row>
    <row r="8" spans="1:16" x14ac:dyDescent="0.25">
      <c r="A8" s="9" t="s">
        <v>26</v>
      </c>
      <c r="B8" s="9" t="s">
        <v>27</v>
      </c>
      <c r="C8" s="9" t="s">
        <v>28</v>
      </c>
      <c r="D8" s="7">
        <v>2240</v>
      </c>
      <c r="E8" s="7">
        <v>1120</v>
      </c>
      <c r="F8" s="7">
        <v>1120</v>
      </c>
      <c r="G8" s="7">
        <v>280</v>
      </c>
      <c r="H8" s="7">
        <v>70</v>
      </c>
      <c r="I8" s="7">
        <v>70</v>
      </c>
      <c r="J8" s="7">
        <v>56</v>
      </c>
      <c r="K8" s="7">
        <v>112</v>
      </c>
      <c r="L8" s="7"/>
      <c r="M8" s="7">
        <v>1680</v>
      </c>
      <c r="N8" s="7">
        <v>1680</v>
      </c>
      <c r="O8" s="7">
        <f t="shared" si="0"/>
        <v>1470</v>
      </c>
      <c r="P8" s="7">
        <f t="shared" si="1"/>
        <v>1680</v>
      </c>
    </row>
    <row r="9" spans="1:16" x14ac:dyDescent="0.25">
      <c r="A9" s="9" t="s">
        <v>30</v>
      </c>
      <c r="B9" s="9" t="s">
        <v>31</v>
      </c>
      <c r="C9" s="9" t="s">
        <v>28</v>
      </c>
      <c r="D9" s="7">
        <v>1600</v>
      </c>
      <c r="E9" s="7">
        <v>800</v>
      </c>
      <c r="F9" s="7">
        <v>800</v>
      </c>
      <c r="G9" s="7">
        <v>200</v>
      </c>
      <c r="H9" s="7">
        <v>50</v>
      </c>
      <c r="I9" s="7">
        <v>50</v>
      </c>
      <c r="J9" s="7">
        <v>40</v>
      </c>
      <c r="K9" s="7">
        <v>80</v>
      </c>
      <c r="L9" s="7"/>
      <c r="M9" s="7">
        <v>1200</v>
      </c>
      <c r="N9" s="7">
        <v>1200</v>
      </c>
      <c r="O9" s="7">
        <f t="shared" si="0"/>
        <v>1050</v>
      </c>
      <c r="P9" s="7">
        <f t="shared" si="1"/>
        <v>1200</v>
      </c>
    </row>
    <row r="10" spans="1:16" x14ac:dyDescent="0.25">
      <c r="A10" s="9" t="s">
        <v>33</v>
      </c>
      <c r="B10" s="9" t="s">
        <v>34</v>
      </c>
      <c r="C10" s="9" t="s">
        <v>28</v>
      </c>
      <c r="D10" s="7">
        <v>1120</v>
      </c>
      <c r="E10" s="7">
        <v>560</v>
      </c>
      <c r="F10" s="7">
        <v>560</v>
      </c>
      <c r="G10" s="7">
        <v>140</v>
      </c>
      <c r="H10" s="7">
        <v>35</v>
      </c>
      <c r="I10" s="7">
        <v>35</v>
      </c>
      <c r="J10" s="7">
        <v>28</v>
      </c>
      <c r="K10" s="7">
        <v>56</v>
      </c>
      <c r="L10" s="7"/>
      <c r="M10" s="7">
        <v>840</v>
      </c>
      <c r="N10" s="7">
        <v>840</v>
      </c>
      <c r="O10" s="7">
        <f t="shared" si="0"/>
        <v>735</v>
      </c>
      <c r="P10" s="7">
        <f t="shared" si="1"/>
        <v>840</v>
      </c>
    </row>
    <row r="11" spans="1:16" x14ac:dyDescent="0.25">
      <c r="A11" s="9" t="s">
        <v>36</v>
      </c>
      <c r="B11" s="9" t="s">
        <v>37</v>
      </c>
      <c r="C11" s="9" t="s">
        <v>38</v>
      </c>
      <c r="D11" s="7">
        <v>2080</v>
      </c>
      <c r="E11" s="7">
        <v>1040</v>
      </c>
      <c r="F11" s="7">
        <v>1040</v>
      </c>
      <c r="G11" s="7">
        <v>260</v>
      </c>
      <c r="H11" s="7">
        <v>65</v>
      </c>
      <c r="I11" s="7">
        <v>65</v>
      </c>
      <c r="J11" s="7">
        <v>52</v>
      </c>
      <c r="K11" s="7">
        <v>104</v>
      </c>
      <c r="L11" s="7"/>
      <c r="M11" s="7">
        <v>1560</v>
      </c>
      <c r="N11" s="7">
        <v>1560</v>
      </c>
      <c r="O11" s="7">
        <f t="shared" si="0"/>
        <v>1365</v>
      </c>
      <c r="P11" s="7">
        <f t="shared" si="1"/>
        <v>1560</v>
      </c>
    </row>
    <row r="12" spans="1:16" x14ac:dyDescent="0.25">
      <c r="A12" s="9" t="s">
        <v>40</v>
      </c>
      <c r="B12" s="9" t="s">
        <v>41</v>
      </c>
      <c r="C12" s="9" t="s">
        <v>38</v>
      </c>
      <c r="D12" s="7">
        <v>1280</v>
      </c>
      <c r="E12" s="7">
        <v>640</v>
      </c>
      <c r="F12" s="7">
        <v>640</v>
      </c>
      <c r="G12" s="7">
        <v>160</v>
      </c>
      <c r="H12" s="7">
        <v>40</v>
      </c>
      <c r="I12" s="7">
        <v>40</v>
      </c>
      <c r="J12" s="7">
        <v>32</v>
      </c>
      <c r="K12" s="7">
        <v>64</v>
      </c>
      <c r="L12" s="7"/>
      <c r="M12" s="7">
        <v>960</v>
      </c>
      <c r="N12" s="7">
        <v>960</v>
      </c>
      <c r="O12" s="7">
        <f t="shared" si="0"/>
        <v>840</v>
      </c>
      <c r="P12" s="7">
        <f t="shared" si="1"/>
        <v>960</v>
      </c>
    </row>
    <row r="13" spans="1:16" x14ac:dyDescent="0.25">
      <c r="A13" s="9" t="s">
        <v>43</v>
      </c>
      <c r="B13" s="9" t="s">
        <v>44</v>
      </c>
      <c r="C13" s="9" t="s">
        <v>38</v>
      </c>
      <c r="D13" s="7">
        <v>1040</v>
      </c>
      <c r="E13" s="7">
        <v>520</v>
      </c>
      <c r="F13" s="7">
        <v>520</v>
      </c>
      <c r="G13" s="7">
        <v>130</v>
      </c>
      <c r="H13" s="7">
        <v>32.5</v>
      </c>
      <c r="I13" s="7">
        <v>32.5</v>
      </c>
      <c r="J13" s="7">
        <v>26</v>
      </c>
      <c r="K13" s="7">
        <v>52</v>
      </c>
      <c r="L13" s="7"/>
      <c r="M13" s="7">
        <v>780</v>
      </c>
      <c r="N13" s="7">
        <v>780</v>
      </c>
      <c r="O13" s="7">
        <f t="shared" si="0"/>
        <v>682.5</v>
      </c>
      <c r="P13" s="7">
        <f t="shared" si="1"/>
        <v>780</v>
      </c>
    </row>
    <row r="14" spans="1:16" x14ac:dyDescent="0.25">
      <c r="A14" s="9" t="s">
        <v>46</v>
      </c>
      <c r="B14" s="9" t="s">
        <v>47</v>
      </c>
      <c r="C14" s="9" t="s">
        <v>48</v>
      </c>
      <c r="D14" s="7">
        <v>1920</v>
      </c>
      <c r="E14" s="7">
        <v>960</v>
      </c>
      <c r="F14" s="7">
        <v>960</v>
      </c>
      <c r="G14" s="7">
        <v>240</v>
      </c>
      <c r="H14" s="7">
        <v>60</v>
      </c>
      <c r="I14" s="7">
        <v>60</v>
      </c>
      <c r="J14" s="7">
        <v>48</v>
      </c>
      <c r="K14" s="7">
        <v>96</v>
      </c>
      <c r="L14" s="7"/>
      <c r="M14" s="7">
        <v>1440</v>
      </c>
      <c r="N14" s="7">
        <v>1440</v>
      </c>
      <c r="O14" s="7">
        <f t="shared" si="0"/>
        <v>1260</v>
      </c>
      <c r="P14" s="7">
        <f t="shared" si="1"/>
        <v>1440</v>
      </c>
    </row>
    <row r="15" spans="1:16" x14ac:dyDescent="0.25">
      <c r="A15" s="9" t="s">
        <v>50</v>
      </c>
      <c r="B15" s="9" t="s">
        <v>51</v>
      </c>
      <c r="C15" s="9" t="s">
        <v>48</v>
      </c>
      <c r="D15" s="7">
        <v>1200</v>
      </c>
      <c r="E15" s="7">
        <v>600</v>
      </c>
      <c r="F15" s="7">
        <v>600</v>
      </c>
      <c r="G15" s="7">
        <v>150</v>
      </c>
      <c r="H15" s="7">
        <v>37.5</v>
      </c>
      <c r="I15" s="7">
        <v>37.5</v>
      </c>
      <c r="J15" s="7">
        <v>30</v>
      </c>
      <c r="K15" s="7">
        <v>60</v>
      </c>
      <c r="L15" s="7"/>
      <c r="M15" s="7">
        <v>900</v>
      </c>
      <c r="N15" s="7">
        <v>900</v>
      </c>
      <c r="O15" s="7">
        <f t="shared" si="0"/>
        <v>787.5</v>
      </c>
      <c r="P15" s="7">
        <f t="shared" si="1"/>
        <v>900</v>
      </c>
    </row>
    <row r="16" spans="1:16" x14ac:dyDescent="0.25">
      <c r="A16" s="9" t="s">
        <v>53</v>
      </c>
      <c r="B16" s="9" t="s">
        <v>54</v>
      </c>
      <c r="C16" s="9" t="s">
        <v>55</v>
      </c>
      <c r="D16" s="7">
        <v>1760</v>
      </c>
      <c r="E16" s="7">
        <v>880</v>
      </c>
      <c r="F16" s="7">
        <v>880</v>
      </c>
      <c r="G16" s="7">
        <v>220</v>
      </c>
      <c r="H16" s="7">
        <v>55</v>
      </c>
      <c r="I16" s="7">
        <v>55</v>
      </c>
      <c r="J16" s="7">
        <v>44</v>
      </c>
      <c r="K16" s="7">
        <v>88</v>
      </c>
      <c r="L16" s="7"/>
      <c r="M16" s="7">
        <v>1320</v>
      </c>
      <c r="N16" s="7">
        <v>1320</v>
      </c>
      <c r="O16" s="7">
        <f t="shared" si="0"/>
        <v>1155</v>
      </c>
      <c r="P16" s="7">
        <f t="shared" si="1"/>
        <v>1320</v>
      </c>
    </row>
    <row r="17" spans="1:16" x14ac:dyDescent="0.25">
      <c r="A17" s="9" t="s">
        <v>57</v>
      </c>
      <c r="B17" s="9" t="s">
        <v>58</v>
      </c>
      <c r="C17" s="9" t="s">
        <v>55</v>
      </c>
      <c r="D17" s="7">
        <v>1120</v>
      </c>
      <c r="E17" s="7">
        <v>560</v>
      </c>
      <c r="F17" s="7">
        <v>560</v>
      </c>
      <c r="G17" s="7">
        <v>140</v>
      </c>
      <c r="H17" s="7">
        <v>35</v>
      </c>
      <c r="I17" s="7">
        <v>35</v>
      </c>
      <c r="J17" s="7">
        <v>28</v>
      </c>
      <c r="K17" s="7">
        <v>56</v>
      </c>
      <c r="L17" s="7"/>
      <c r="M17" s="7">
        <v>840</v>
      </c>
      <c r="N17" s="7">
        <v>840</v>
      </c>
      <c r="O17" s="7">
        <f t="shared" si="0"/>
        <v>735</v>
      </c>
      <c r="P17" s="7">
        <f t="shared" si="1"/>
        <v>840</v>
      </c>
    </row>
    <row r="18" spans="1:16" x14ac:dyDescent="0.25">
      <c r="A18" s="9" t="s">
        <v>60</v>
      </c>
      <c r="B18" s="9" t="s">
        <v>61</v>
      </c>
      <c r="C18" s="9" t="s">
        <v>55</v>
      </c>
      <c r="D18" s="7">
        <v>1120</v>
      </c>
      <c r="E18" s="7">
        <v>560</v>
      </c>
      <c r="F18" s="7">
        <v>560</v>
      </c>
      <c r="G18" s="7">
        <v>140</v>
      </c>
      <c r="H18" s="7">
        <v>35</v>
      </c>
      <c r="I18" s="7">
        <v>35</v>
      </c>
      <c r="J18" s="7">
        <v>28</v>
      </c>
      <c r="K18" s="7">
        <v>56</v>
      </c>
      <c r="L18" s="7"/>
      <c r="M18" s="7">
        <v>840</v>
      </c>
      <c r="N18" s="7">
        <v>840</v>
      </c>
      <c r="O18" s="7">
        <f t="shared" si="0"/>
        <v>735</v>
      </c>
      <c r="P18" s="7">
        <f t="shared" si="1"/>
        <v>840</v>
      </c>
    </row>
    <row r="19" spans="1:16" x14ac:dyDescent="0.25">
      <c r="A19" s="14"/>
      <c r="B19" s="14"/>
      <c r="C19" s="14" t="s">
        <v>71</v>
      </c>
      <c r="D19" s="13">
        <f t="shared" ref="D19:K19" si="2">SUM(D4:D18)</f>
        <v>23840</v>
      </c>
      <c r="E19" s="13">
        <f t="shared" si="2"/>
        <v>11920</v>
      </c>
      <c r="F19" s="13">
        <f t="shared" si="2"/>
        <v>11920</v>
      </c>
      <c r="G19" s="13">
        <f t="shared" si="2"/>
        <v>2980</v>
      </c>
      <c r="H19" s="13">
        <f t="shared" si="2"/>
        <v>745</v>
      </c>
      <c r="I19" s="13">
        <f t="shared" si="2"/>
        <v>745</v>
      </c>
      <c r="J19" s="13">
        <f t="shared" si="2"/>
        <v>596</v>
      </c>
      <c r="K19" s="13">
        <f t="shared" si="2"/>
        <v>1192</v>
      </c>
      <c r="L19" s="13"/>
      <c r="M19" s="13">
        <f>SUM(M4:M18)</f>
        <v>17880</v>
      </c>
      <c r="N19" s="13">
        <f>SUM(N4:N18)</f>
        <v>17880</v>
      </c>
      <c r="O19" s="13">
        <f>SUM(O4:O18)</f>
        <v>15645</v>
      </c>
      <c r="P19" s="13">
        <f>SUM(P4:P18)</f>
        <v>17880</v>
      </c>
    </row>
  </sheetData>
  <mergeCells count="5">
    <mergeCell ref="A1:P1"/>
    <mergeCell ref="D2:E2"/>
    <mergeCell ref="F2:G2"/>
    <mergeCell ref="H2:I2"/>
    <mergeCell ref="M2:N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749-7AEE-4AFB-9CCC-1BFFD69FD4F4}">
  <sheetPr>
    <tabColor rgb="FFED7D31"/>
  </sheetPr>
  <dimension ref="A1:K1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2.36328125" bestFit="1" customWidth="1"/>
    <col min="5" max="6" width="11.1796875" bestFit="1" customWidth="1"/>
    <col min="7" max="7" width="10.81640625" bestFit="1" customWidth="1"/>
    <col min="8" max="8" width="12.36328125" bestFit="1" customWidth="1"/>
    <col min="9" max="9" width="11.1796875" bestFit="1" customWidth="1"/>
    <col min="10" max="10" width="11.90625" bestFit="1" customWidth="1"/>
    <col min="11" max="11" width="12.36328125" bestFit="1" customWidth="1"/>
  </cols>
  <sheetData>
    <row r="1" spans="1:11" ht="17.5" x14ac:dyDescent="0.25">
      <c r="A1" s="26" t="s">
        <v>62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6" t="s">
        <v>1</v>
      </c>
      <c r="B2" s="6" t="s">
        <v>2</v>
      </c>
      <c r="C2" s="6" t="s">
        <v>3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</row>
    <row r="3" spans="1:11" x14ac:dyDescent="0.25">
      <c r="A3" s="9" t="s">
        <v>9</v>
      </c>
      <c r="B3" s="9" t="s">
        <v>10</v>
      </c>
      <c r="C3" s="9" t="s">
        <v>11</v>
      </c>
      <c r="D3" s="7">
        <v>15000</v>
      </c>
      <c r="E3" s="7">
        <v>8000</v>
      </c>
      <c r="F3" s="7">
        <v>6000</v>
      </c>
      <c r="G3" s="7">
        <v>500</v>
      </c>
      <c r="H3" s="7">
        <f t="shared" ref="H3:H17" si="0">D3+E3+F3+G3</f>
        <v>29500</v>
      </c>
      <c r="I3" s="7">
        <f t="shared" ref="I3:I17" si="1">ROUND(D3*0.105,2)</f>
        <v>1575</v>
      </c>
      <c r="J3" s="7">
        <f t="shared" ref="J3:J17" si="2">MAX(0,ROUND(IF(H3-ROUND(D3*0.105,2)-5000&lt;=0,0,IF(H3-ROUND(D3*0.105,2)-5000&lt;=36000,(H3-ROUND(D3*0.105,2)-5000)*0.03,IF(H3-ROUND(D3*0.105,2)-5000&lt;=144000,(H3-ROUND(D3*0.105,2)-5000)*0.1-2520,(H3-ROUND(D3*0.105,2)-5000)*0.2-16920))),2))</f>
        <v>687.75</v>
      </c>
      <c r="K3" s="7">
        <f t="shared" ref="K3:K17" si="3">H3-I3-J3</f>
        <v>27237.25</v>
      </c>
    </row>
    <row r="4" spans="1:11" x14ac:dyDescent="0.25">
      <c r="A4" s="9" t="s">
        <v>16</v>
      </c>
      <c r="B4" s="9" t="s">
        <v>17</v>
      </c>
      <c r="C4" s="9" t="s">
        <v>11</v>
      </c>
      <c r="D4" s="7">
        <v>12000</v>
      </c>
      <c r="E4" s="7">
        <v>5000</v>
      </c>
      <c r="F4" s="7">
        <v>4500</v>
      </c>
      <c r="G4" s="7">
        <v>500</v>
      </c>
      <c r="H4" s="7">
        <f t="shared" si="0"/>
        <v>22000</v>
      </c>
      <c r="I4" s="7">
        <f t="shared" si="1"/>
        <v>1260</v>
      </c>
      <c r="J4" s="7">
        <f t="shared" si="2"/>
        <v>472.2</v>
      </c>
      <c r="K4" s="7">
        <f t="shared" si="3"/>
        <v>20267.8</v>
      </c>
    </row>
    <row r="5" spans="1:11" x14ac:dyDescent="0.25">
      <c r="A5" s="9" t="s">
        <v>21</v>
      </c>
      <c r="B5" s="9" t="s">
        <v>22</v>
      </c>
      <c r="C5" s="9" t="s">
        <v>11</v>
      </c>
      <c r="D5" s="7">
        <v>10000</v>
      </c>
      <c r="E5" s="7">
        <v>3000</v>
      </c>
      <c r="F5" s="7">
        <v>3000</v>
      </c>
      <c r="G5" s="7">
        <v>500</v>
      </c>
      <c r="H5" s="7">
        <f t="shared" si="0"/>
        <v>16500</v>
      </c>
      <c r="I5" s="7">
        <f t="shared" si="1"/>
        <v>1050</v>
      </c>
      <c r="J5" s="7">
        <f t="shared" si="2"/>
        <v>313.5</v>
      </c>
      <c r="K5" s="7">
        <f t="shared" si="3"/>
        <v>15136.5</v>
      </c>
    </row>
    <row r="6" spans="1:11" x14ac:dyDescent="0.25">
      <c r="A6" s="9" t="s">
        <v>24</v>
      </c>
      <c r="B6" s="9" t="s">
        <v>25</v>
      </c>
      <c r="C6" s="9" t="s">
        <v>11</v>
      </c>
      <c r="D6" s="7">
        <v>9000</v>
      </c>
      <c r="E6" s="7">
        <v>2500</v>
      </c>
      <c r="F6" s="7">
        <v>2500</v>
      </c>
      <c r="G6" s="7">
        <v>500</v>
      </c>
      <c r="H6" s="7">
        <f t="shared" si="0"/>
        <v>14500</v>
      </c>
      <c r="I6" s="7">
        <f t="shared" si="1"/>
        <v>945</v>
      </c>
      <c r="J6" s="7">
        <f t="shared" si="2"/>
        <v>256.64999999999998</v>
      </c>
      <c r="K6" s="7">
        <f t="shared" si="3"/>
        <v>13298.35</v>
      </c>
    </row>
    <row r="7" spans="1:11" x14ac:dyDescent="0.25">
      <c r="A7" s="9" t="s">
        <v>26</v>
      </c>
      <c r="B7" s="9" t="s">
        <v>27</v>
      </c>
      <c r="C7" s="9" t="s">
        <v>28</v>
      </c>
      <c r="D7" s="7">
        <v>14000</v>
      </c>
      <c r="E7" s="7">
        <v>7000</v>
      </c>
      <c r="F7" s="7">
        <v>8000</v>
      </c>
      <c r="G7" s="7">
        <v>500</v>
      </c>
      <c r="H7" s="7">
        <f t="shared" si="0"/>
        <v>29500</v>
      </c>
      <c r="I7" s="7">
        <f t="shared" si="1"/>
        <v>1470</v>
      </c>
      <c r="J7" s="7">
        <f t="shared" si="2"/>
        <v>690.9</v>
      </c>
      <c r="K7" s="7">
        <f t="shared" si="3"/>
        <v>27339.1</v>
      </c>
    </row>
    <row r="8" spans="1:11" x14ac:dyDescent="0.25">
      <c r="A8" s="9" t="s">
        <v>30</v>
      </c>
      <c r="B8" s="9" t="s">
        <v>31</v>
      </c>
      <c r="C8" s="9" t="s">
        <v>28</v>
      </c>
      <c r="D8" s="7">
        <v>10000</v>
      </c>
      <c r="E8" s="7">
        <v>4000</v>
      </c>
      <c r="F8" s="7">
        <v>5000</v>
      </c>
      <c r="G8" s="7">
        <v>500</v>
      </c>
      <c r="H8" s="7">
        <f t="shared" si="0"/>
        <v>19500</v>
      </c>
      <c r="I8" s="7">
        <f t="shared" si="1"/>
        <v>1050</v>
      </c>
      <c r="J8" s="7">
        <f t="shared" si="2"/>
        <v>403.5</v>
      </c>
      <c r="K8" s="7">
        <f t="shared" si="3"/>
        <v>18046.5</v>
      </c>
    </row>
    <row r="9" spans="1:11" x14ac:dyDescent="0.25">
      <c r="A9" s="9" t="s">
        <v>33</v>
      </c>
      <c r="B9" s="9" t="s">
        <v>34</v>
      </c>
      <c r="C9" s="9" t="s">
        <v>28</v>
      </c>
      <c r="D9" s="7">
        <v>7000</v>
      </c>
      <c r="E9" s="7">
        <v>2000</v>
      </c>
      <c r="F9" s="7">
        <v>2000</v>
      </c>
      <c r="G9" s="7">
        <v>500</v>
      </c>
      <c r="H9" s="7">
        <f t="shared" si="0"/>
        <v>11500</v>
      </c>
      <c r="I9" s="7">
        <f t="shared" si="1"/>
        <v>735</v>
      </c>
      <c r="J9" s="7">
        <f t="shared" si="2"/>
        <v>172.95</v>
      </c>
      <c r="K9" s="7">
        <f t="shared" si="3"/>
        <v>10592.05</v>
      </c>
    </row>
    <row r="10" spans="1:11" x14ac:dyDescent="0.25">
      <c r="A10" s="9" t="s">
        <v>36</v>
      </c>
      <c r="B10" s="9" t="s">
        <v>37</v>
      </c>
      <c r="C10" s="9" t="s">
        <v>38</v>
      </c>
      <c r="D10" s="7">
        <v>13000</v>
      </c>
      <c r="E10" s="7">
        <v>6000</v>
      </c>
      <c r="F10" s="7">
        <v>5000</v>
      </c>
      <c r="G10" s="7">
        <v>500</v>
      </c>
      <c r="H10" s="7">
        <f t="shared" si="0"/>
        <v>24500</v>
      </c>
      <c r="I10" s="7">
        <f t="shared" si="1"/>
        <v>1365</v>
      </c>
      <c r="J10" s="7">
        <f t="shared" si="2"/>
        <v>544.04999999999995</v>
      </c>
      <c r="K10" s="7">
        <f t="shared" si="3"/>
        <v>22590.95</v>
      </c>
    </row>
    <row r="11" spans="1:11" x14ac:dyDescent="0.25">
      <c r="A11" s="9" t="s">
        <v>40</v>
      </c>
      <c r="B11" s="9" t="s">
        <v>41</v>
      </c>
      <c r="C11" s="9" t="s">
        <v>38</v>
      </c>
      <c r="D11" s="7">
        <v>8000</v>
      </c>
      <c r="E11" s="7">
        <v>2000</v>
      </c>
      <c r="F11" s="7">
        <v>2000</v>
      </c>
      <c r="G11" s="7">
        <v>500</v>
      </c>
      <c r="H11" s="7">
        <f t="shared" si="0"/>
        <v>12500</v>
      </c>
      <c r="I11" s="7">
        <f t="shared" si="1"/>
        <v>840</v>
      </c>
      <c r="J11" s="7">
        <f t="shared" si="2"/>
        <v>199.8</v>
      </c>
      <c r="K11" s="7">
        <f t="shared" si="3"/>
        <v>11460.2</v>
      </c>
    </row>
    <row r="12" spans="1:11" x14ac:dyDescent="0.25">
      <c r="A12" s="9" t="s">
        <v>43</v>
      </c>
      <c r="B12" s="9" t="s">
        <v>44</v>
      </c>
      <c r="C12" s="9" t="s">
        <v>38</v>
      </c>
      <c r="D12" s="7">
        <v>6500</v>
      </c>
      <c r="E12" s="7">
        <v>1500</v>
      </c>
      <c r="F12" s="7">
        <v>1500</v>
      </c>
      <c r="G12" s="7">
        <v>500</v>
      </c>
      <c r="H12" s="7">
        <f t="shared" si="0"/>
        <v>10000</v>
      </c>
      <c r="I12" s="7">
        <f t="shared" si="1"/>
        <v>682.5</v>
      </c>
      <c r="J12" s="7">
        <f t="shared" si="2"/>
        <v>129.53</v>
      </c>
      <c r="K12" s="7">
        <f t="shared" si="3"/>
        <v>9187.9699999999993</v>
      </c>
    </row>
    <row r="13" spans="1:11" x14ac:dyDescent="0.25">
      <c r="A13" s="9" t="s">
        <v>46</v>
      </c>
      <c r="B13" s="9" t="s">
        <v>47</v>
      </c>
      <c r="C13" s="9" t="s">
        <v>48</v>
      </c>
      <c r="D13" s="7">
        <v>12000</v>
      </c>
      <c r="E13" s="7">
        <v>5000</v>
      </c>
      <c r="F13" s="7">
        <v>4000</v>
      </c>
      <c r="G13" s="7">
        <v>500</v>
      </c>
      <c r="H13" s="7">
        <f t="shared" si="0"/>
        <v>21500</v>
      </c>
      <c r="I13" s="7">
        <f t="shared" si="1"/>
        <v>1260</v>
      </c>
      <c r="J13" s="7">
        <f t="shared" si="2"/>
        <v>457.2</v>
      </c>
      <c r="K13" s="7">
        <f t="shared" si="3"/>
        <v>19782.8</v>
      </c>
    </row>
    <row r="14" spans="1:11" x14ac:dyDescent="0.25">
      <c r="A14" s="9" t="s">
        <v>50</v>
      </c>
      <c r="B14" s="9" t="s">
        <v>51</v>
      </c>
      <c r="C14" s="9" t="s">
        <v>48</v>
      </c>
      <c r="D14" s="7">
        <v>7500</v>
      </c>
      <c r="E14" s="7">
        <v>2000</v>
      </c>
      <c r="F14" s="7">
        <v>2000</v>
      </c>
      <c r="G14" s="7">
        <v>500</v>
      </c>
      <c r="H14" s="7">
        <f t="shared" si="0"/>
        <v>12000</v>
      </c>
      <c r="I14" s="7">
        <f t="shared" si="1"/>
        <v>787.5</v>
      </c>
      <c r="J14" s="7">
        <f t="shared" si="2"/>
        <v>186.38</v>
      </c>
      <c r="K14" s="7">
        <f t="shared" si="3"/>
        <v>11026.12</v>
      </c>
    </row>
    <row r="15" spans="1:11" x14ac:dyDescent="0.25">
      <c r="A15" s="9" t="s">
        <v>53</v>
      </c>
      <c r="B15" s="9" t="s">
        <v>54</v>
      </c>
      <c r="C15" s="9" t="s">
        <v>55</v>
      </c>
      <c r="D15" s="7">
        <v>11000</v>
      </c>
      <c r="E15" s="7">
        <v>5000</v>
      </c>
      <c r="F15" s="7">
        <v>5000</v>
      </c>
      <c r="G15" s="7">
        <v>500</v>
      </c>
      <c r="H15" s="7">
        <f t="shared" si="0"/>
        <v>21500</v>
      </c>
      <c r="I15" s="7">
        <f t="shared" si="1"/>
        <v>1155</v>
      </c>
      <c r="J15" s="7">
        <f t="shared" si="2"/>
        <v>460.35</v>
      </c>
      <c r="K15" s="7">
        <f t="shared" si="3"/>
        <v>19884.650000000001</v>
      </c>
    </row>
    <row r="16" spans="1:11" x14ac:dyDescent="0.25">
      <c r="A16" s="9" t="s">
        <v>57</v>
      </c>
      <c r="B16" s="9" t="s">
        <v>58</v>
      </c>
      <c r="C16" s="9" t="s">
        <v>55</v>
      </c>
      <c r="D16" s="7">
        <v>7000</v>
      </c>
      <c r="E16" s="7">
        <v>2000</v>
      </c>
      <c r="F16" s="7">
        <v>2000</v>
      </c>
      <c r="G16" s="7">
        <v>500</v>
      </c>
      <c r="H16" s="7">
        <f t="shared" si="0"/>
        <v>11500</v>
      </c>
      <c r="I16" s="7">
        <f t="shared" si="1"/>
        <v>735</v>
      </c>
      <c r="J16" s="7">
        <f t="shared" si="2"/>
        <v>172.95</v>
      </c>
      <c r="K16" s="7">
        <f t="shared" si="3"/>
        <v>10592.05</v>
      </c>
    </row>
    <row r="17" spans="1:11" x14ac:dyDescent="0.25">
      <c r="A17" s="9" t="s">
        <v>60</v>
      </c>
      <c r="B17" s="9" t="s">
        <v>61</v>
      </c>
      <c r="C17" s="9" t="s">
        <v>55</v>
      </c>
      <c r="D17" s="7">
        <v>7000</v>
      </c>
      <c r="E17" s="7">
        <v>2000</v>
      </c>
      <c r="F17" s="7">
        <v>1500</v>
      </c>
      <c r="G17" s="7">
        <v>500</v>
      </c>
      <c r="H17" s="7">
        <f t="shared" si="0"/>
        <v>11000</v>
      </c>
      <c r="I17" s="7">
        <f t="shared" si="1"/>
        <v>735</v>
      </c>
      <c r="J17" s="7">
        <f t="shared" si="2"/>
        <v>157.94999999999999</v>
      </c>
      <c r="K17" s="7">
        <f t="shared" si="3"/>
        <v>10107.049999999999</v>
      </c>
    </row>
    <row r="18" spans="1:11" x14ac:dyDescent="0.25">
      <c r="A18" s="10"/>
      <c r="B18" s="10"/>
      <c r="C18" s="10" t="s">
        <v>71</v>
      </c>
      <c r="D18" s="8">
        <f t="shared" ref="D18:K18" si="4">SUM(D3:D17)</f>
        <v>149000</v>
      </c>
      <c r="E18" s="8">
        <f t="shared" si="4"/>
        <v>57000</v>
      </c>
      <c r="F18" s="8">
        <f t="shared" si="4"/>
        <v>54000</v>
      </c>
      <c r="G18" s="8">
        <f t="shared" si="4"/>
        <v>7500</v>
      </c>
      <c r="H18" s="8">
        <f t="shared" si="4"/>
        <v>267500</v>
      </c>
      <c r="I18" s="8">
        <f t="shared" si="4"/>
        <v>15645</v>
      </c>
      <c r="J18" s="8">
        <f t="shared" si="4"/>
        <v>5305.6600000000008</v>
      </c>
      <c r="K18" s="8">
        <f t="shared" si="4"/>
        <v>246549.33999999997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H17"/>
  <sheetViews>
    <sheetView workbookViewId="0">
      <pane ySplit="2" topLeftCell="A3" activePane="bottomLeft" state="frozen"/>
      <selection pane="bottomLeft" activeCell="A3" sqref="A3"/>
    </sheetView>
  </sheetViews>
  <sheetFormatPr defaultRowHeight="14" x14ac:dyDescent="0.25"/>
  <cols>
    <col min="1" max="2" width="5.453125" bestFit="1" customWidth="1"/>
    <col min="3" max="3" width="7.26953125" bestFit="1" customWidth="1"/>
    <col min="4" max="4" width="11.36328125" bestFit="1" customWidth="1"/>
    <col min="5" max="5" width="5.453125" bestFit="1" customWidth="1"/>
    <col min="6" max="6" width="10.26953125" bestFit="1" customWidth="1"/>
    <col min="7" max="7" width="11.36328125" bestFit="1" customWidth="1"/>
    <col min="8" max="8" width="5.453125" bestFit="1" customWidth="1"/>
  </cols>
  <sheetData>
    <row r="1" spans="1:8" ht="17.5" x14ac:dyDescent="0.25">
      <c r="A1" s="27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43525</v>
      </c>
      <c r="G3" s="2" t="s">
        <v>14</v>
      </c>
      <c r="H3" s="2" t="s">
        <v>15</v>
      </c>
    </row>
    <row r="4" spans="1:8" x14ac:dyDescent="0.25">
      <c r="A4" s="4" t="s">
        <v>16</v>
      </c>
      <c r="B4" s="4" t="s">
        <v>17</v>
      </c>
      <c r="C4" s="4" t="s">
        <v>11</v>
      </c>
      <c r="D4" s="4" t="s">
        <v>18</v>
      </c>
      <c r="E4" s="4" t="s">
        <v>19</v>
      </c>
      <c r="F4" s="5">
        <v>43997</v>
      </c>
      <c r="G4" s="4" t="s">
        <v>20</v>
      </c>
      <c r="H4" s="4" t="s">
        <v>15</v>
      </c>
    </row>
    <row r="5" spans="1:8" x14ac:dyDescent="0.25">
      <c r="A5" s="2" t="s">
        <v>21</v>
      </c>
      <c r="B5" s="2" t="s">
        <v>22</v>
      </c>
      <c r="C5" s="2" t="s">
        <v>11</v>
      </c>
      <c r="D5" s="2" t="s">
        <v>23</v>
      </c>
      <c r="E5" s="2" t="s">
        <v>13</v>
      </c>
      <c r="F5" s="3">
        <v>44440</v>
      </c>
      <c r="G5" s="2" t="s">
        <v>20</v>
      </c>
      <c r="H5" s="2" t="s">
        <v>15</v>
      </c>
    </row>
    <row r="6" spans="1:8" x14ac:dyDescent="0.25">
      <c r="A6" s="4" t="s">
        <v>24</v>
      </c>
      <c r="B6" s="4" t="s">
        <v>25</v>
      </c>
      <c r="C6" s="4" t="s">
        <v>11</v>
      </c>
      <c r="D6" s="4" t="s">
        <v>23</v>
      </c>
      <c r="E6" s="4" t="s">
        <v>13</v>
      </c>
      <c r="F6" s="5">
        <v>44635</v>
      </c>
      <c r="G6" s="4" t="s">
        <v>20</v>
      </c>
      <c r="H6" s="4" t="s">
        <v>15</v>
      </c>
    </row>
    <row r="7" spans="1:8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19</v>
      </c>
      <c r="F7" s="3">
        <v>43282</v>
      </c>
      <c r="G7" s="2" t="s">
        <v>14</v>
      </c>
      <c r="H7" s="2" t="s">
        <v>15</v>
      </c>
    </row>
    <row r="8" spans="1:8" x14ac:dyDescent="0.25">
      <c r="A8" s="4" t="s">
        <v>30</v>
      </c>
      <c r="B8" s="4" t="s">
        <v>31</v>
      </c>
      <c r="C8" s="4" t="s">
        <v>28</v>
      </c>
      <c r="D8" s="4" t="s">
        <v>32</v>
      </c>
      <c r="E8" s="4" t="s">
        <v>13</v>
      </c>
      <c r="F8" s="5">
        <v>43840</v>
      </c>
      <c r="G8" s="4" t="s">
        <v>20</v>
      </c>
      <c r="H8" s="4" t="s">
        <v>15</v>
      </c>
    </row>
    <row r="9" spans="1:8" x14ac:dyDescent="0.25">
      <c r="A9" s="2" t="s">
        <v>33</v>
      </c>
      <c r="B9" s="2" t="s">
        <v>34</v>
      </c>
      <c r="C9" s="2" t="s">
        <v>28</v>
      </c>
      <c r="D9" s="2" t="s">
        <v>35</v>
      </c>
      <c r="E9" s="2" t="s">
        <v>19</v>
      </c>
      <c r="F9" s="3">
        <v>44774</v>
      </c>
      <c r="G9" s="2" t="s">
        <v>20</v>
      </c>
      <c r="H9" s="2" t="s">
        <v>15</v>
      </c>
    </row>
    <row r="10" spans="1:8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13</v>
      </c>
      <c r="F10" s="5">
        <v>42856</v>
      </c>
      <c r="G10" s="4" t="s">
        <v>14</v>
      </c>
      <c r="H10" s="4" t="s">
        <v>15</v>
      </c>
    </row>
    <row r="11" spans="1:8" x14ac:dyDescent="0.25">
      <c r="A11" s="2" t="s">
        <v>40</v>
      </c>
      <c r="B11" s="2" t="s">
        <v>41</v>
      </c>
      <c r="C11" s="2" t="s">
        <v>38</v>
      </c>
      <c r="D11" s="2" t="s">
        <v>42</v>
      </c>
      <c r="E11" s="2" t="s">
        <v>19</v>
      </c>
      <c r="F11" s="3">
        <v>44287</v>
      </c>
      <c r="G11" s="2" t="s">
        <v>20</v>
      </c>
      <c r="H11" s="2" t="s">
        <v>15</v>
      </c>
    </row>
    <row r="12" spans="1:8" x14ac:dyDescent="0.25">
      <c r="A12" s="4" t="s">
        <v>43</v>
      </c>
      <c r="B12" s="4" t="s">
        <v>44</v>
      </c>
      <c r="C12" s="4" t="s">
        <v>38</v>
      </c>
      <c r="D12" s="4" t="s">
        <v>45</v>
      </c>
      <c r="E12" s="4" t="s">
        <v>19</v>
      </c>
      <c r="F12" s="5">
        <v>44936</v>
      </c>
      <c r="G12" s="4" t="s">
        <v>20</v>
      </c>
      <c r="H12" s="4" t="s">
        <v>15</v>
      </c>
    </row>
    <row r="13" spans="1:8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19</v>
      </c>
      <c r="F13" s="3">
        <v>43709</v>
      </c>
      <c r="G13" s="2" t="s">
        <v>14</v>
      </c>
      <c r="H13" s="2" t="s">
        <v>15</v>
      </c>
    </row>
    <row r="14" spans="1:8" x14ac:dyDescent="0.25">
      <c r="A14" s="4" t="s">
        <v>50</v>
      </c>
      <c r="B14" s="4" t="s">
        <v>51</v>
      </c>
      <c r="C14" s="4" t="s">
        <v>48</v>
      </c>
      <c r="D14" s="4" t="s">
        <v>52</v>
      </c>
      <c r="E14" s="4" t="s">
        <v>13</v>
      </c>
      <c r="F14" s="5">
        <v>44713</v>
      </c>
      <c r="G14" s="4" t="s">
        <v>20</v>
      </c>
      <c r="H14" s="4" t="s">
        <v>15</v>
      </c>
    </row>
    <row r="15" spans="1:8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19</v>
      </c>
      <c r="F15" s="3">
        <v>43862</v>
      </c>
      <c r="G15" s="2" t="s">
        <v>14</v>
      </c>
      <c r="H15" s="2" t="s">
        <v>15</v>
      </c>
    </row>
    <row r="16" spans="1:8" x14ac:dyDescent="0.25">
      <c r="A16" s="4" t="s">
        <v>57</v>
      </c>
      <c r="B16" s="4" t="s">
        <v>58</v>
      </c>
      <c r="C16" s="4" t="s">
        <v>55</v>
      </c>
      <c r="D16" s="4" t="s">
        <v>59</v>
      </c>
      <c r="E16" s="4" t="s">
        <v>13</v>
      </c>
      <c r="F16" s="5">
        <v>44866</v>
      </c>
      <c r="G16" s="4" t="s">
        <v>20</v>
      </c>
      <c r="H16" s="4" t="s">
        <v>15</v>
      </c>
    </row>
    <row r="17" spans="1:8" x14ac:dyDescent="0.25">
      <c r="A17" s="2" t="s">
        <v>60</v>
      </c>
      <c r="B17" s="2" t="s">
        <v>61</v>
      </c>
      <c r="C17" s="2" t="s">
        <v>55</v>
      </c>
      <c r="D17" s="2" t="s">
        <v>59</v>
      </c>
      <c r="E17" s="2" t="s">
        <v>13</v>
      </c>
      <c r="F17" s="3">
        <v>45061</v>
      </c>
      <c r="G17" s="2" t="s">
        <v>20</v>
      </c>
      <c r="H17" s="2" t="s">
        <v>15</v>
      </c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部门汇总</vt:lpstr>
      <vt:lpstr>数据透视</vt:lpstr>
      <vt:lpstr>社保明细</vt:lpstr>
      <vt:lpstr>薪酬统计</vt:lpstr>
      <vt:lpstr>花名册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2026-05-06T03:02:27Z</dcterms:created>
  <dcterms:modified xsi:type="dcterms:W3CDTF">2026-05-06T03:37:22Z</dcterms:modified>
</cp:coreProperties>
</file>