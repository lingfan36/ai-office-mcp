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C7BF905-47C5-4F25-B98F-2E871C4FFD47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<sst xmlns="http://schemas.openxmlformats.org/spreadsheetml/2006/main" count="163" uniqueCount="104">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</sst>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:C1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  <c r="I3" t="s">
        <v>1</v>
      </c>
      <c r="J3" s="22">
        <f>SUMIF($D$2:$D$17,I3,$E$2:$E$17)</f>
        <v>576000</v>
      </c>
      <c r="K3" s="22">
        <f>SUMIF($D$2:$D$17,I3,$F$2:$F$17)</f>
        <v>105500</v>
      </c>
      <c r="L3" s="22">
        <f>J3-K3</f>
        <v>470500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  <c r="I8" s="3" t="s">
        <v>103</v>
      </c>
      <c r="J8" s="36">
        <f>SUM(J3:J7)</f>
        <v>596500</v>
      </c>
      <c r="K8" s="36">
        <f>SUM(K3:K7)</f>
        <v>596500</v>
      </c>
      <c r="L8" s="37">
        <f>SUM(L3:L7)</f>
        <v>0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