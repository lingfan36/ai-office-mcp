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277AAA2-3EDD-4F5E-8680-1D70D42A109A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2" l="1"/>
  <c r="L5" i="2" s="1"/>
  <c r="K5" i="2"/>
  <c r="J4" i="2"/>
  <c r="L4" i="2" s="1"/>
  <c r="K4" i="2"/>
  <c r="J3" i="2"/>
  <c r="L3" i="2" s="1"/>
  <c r="K3" i="2"/>
  <c r="I13" i="3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H5" i="2"/>
  <c r="H4" i="2"/>
  <c r="H3" i="2"/>
  <c r="H2" i="2"/>
  <c r="K8" i="2" l="1"/>
  <c r="D10" i="3"/>
  <c r="E10" i="3" s="1"/>
  <c r="F10" i="3"/>
  <c r="B11" i="3" s="1"/>
  <c r="F21" i="6"/>
  <c r="E21" i="6"/>
  <c r="L8" i="2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<sst xmlns="http://schemas.openxmlformats.org/spreadsheetml/2006/main" count="201" uniqueCount="143">
  <si>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</si>
  <si>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</si>
  <si>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</si>
  <si>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</si>
  <si>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</si>
  <si>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</si>
  <si>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</si>
  <si>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</si>
  <si>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</si>
  <si>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</si>
  <si>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</si>
  <si>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</si>
  <si>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</si>
  <si>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</si>
  <si>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</si>
  <si>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</si>
  <si>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</si>
  <si>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</si>
  <si>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</si>
  <si>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</si>
  <si>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</si>
  <si>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</si>
  <si>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</si>
  <si>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</si>
  <si>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</si>
  <si>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</si>
  <si>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</si>
  <si>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</si>
  <si>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</si>
  <si>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</si>
  <si>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</si>
  <si>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</si>
  <si>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</si>
  <si>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</si>
  <si>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</si>
  <si>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</si>
  <si>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</si>
  <si>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</si>
  <si>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</si>
  <si>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</si>
  <si>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</si>
  <si>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</si>
  <si>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</si>
  <si>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</si>
  <si>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</si>
  <si>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</si>
  <si>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</si>
  <si>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</si>
  <si>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</si>
  <si>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</si>
  <si>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</si>
  <si>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</si>
  <si>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</si>
  <si>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</si>
  <si>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</si>
  <si>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</si>
  <si>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</si>
  <si>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</si>
  <si>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</si>
  <si>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</si>
  <si>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</si>
  <si>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</si>
  <si>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</si>
  <si>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</si>
  <si>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</si>
  <si>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</si>
  <si>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</si>
  <si>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</si>
  <si>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</si>
  <si>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</si>
  <si>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</si>
  <si>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</si>
  <si>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</si>
  <si>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</si>
  <si>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</si>
  <si>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</si>
  <si>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</si>
  <si>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</si>
  <si>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</si>
  <si>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</si>
  <si>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</si>
  <si>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</si>
  <si>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</si>
  <si>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</si>
  <si>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</si>
  <si>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</si>
  <si>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</si>
  <si>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</si>
  <si>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</si>
  <si>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</si>
  <si>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</si>
  <si>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</si>
  <si>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</si>
  <si>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</si>
  <si>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</si>
  <si>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</si>
  <si>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</si>
  <si>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</si>
  <si>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</si>
  <si>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</si>
  <si>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</si>
  <si>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</si>
  <si>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</si>
  <si>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</si>
  <si>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</si>
  <si>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</si>
  <si>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</si>
  <si>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</si>
  <si>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</si>
  <si>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</si>
  <si>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</si>
  <si>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</si>
  <si>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</si>
  <si>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</si>
  <si>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</si>
  <si>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</si>
  <si>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</si>
  <si>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</si>
  <si>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</si>
  <si>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</si>
  <si>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</si>
  <si>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</si>
  <si>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</si>
  <si>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</si>
  <si>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</si>
  <si>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</si>
  <si>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</si>
  <si>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</si>
  <si>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</si>
  <si>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</si>
  <si>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</si>
  <si>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</si>
  <si>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</si>
  <si>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</si>
  <si>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</si>
  <si>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</si>
  <si>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</si>
  <si>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</si>
  <si>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</si>
  <si>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</si>
  <si>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</si>
  <si>
    <t>负债</t>
    <phoneticPr fontId="1" type="noConversion"/>
  </si>
  <si>
    <t>权益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</si>
</sst>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136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137</v>
      </c>
      <c r="J2" s="2" t="s">
        <v>138</v>
      </c>
      <c r="K2" s="2" t="s">
        <v>139</v>
      </c>
      <c r="L2" s="2" t="s">
        <v>140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20</v>
      </c>
      <c r="H3" s="33" t="str">
        <f>IF(VLOOKUP(B3,辅助表!$A:$C,2,0)=C3,"OK","科目名不符")</f>
        <v>OK</v>
      </c>
      <c r="I3" t="s">
        <v>67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20</v>
      </c>
      <c r="H4" s="33" t="str">
        <f>IF(VLOOKUP(B4,辅助表!$A:$C,2,0)=C4,"OK","科目名不符")</f>
        <v>OK</v>
      </c>
      <c r="I4" t="s">
        <v>141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21</v>
      </c>
      <c r="H5" s="33" t="str">
        <f>IF(VLOOKUP(B5,辅助表!$A:$C,2,0)=C5,"OK","科目名不符")</f>
        <v>OK</v>
      </c>
      <c r="I5" t="s">
        <v>142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21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22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22</v>
      </c>
      <c r="H8" s="33" t="str">
        <f>IF(VLOOKUP(B8,辅助表!$A:$C,2,0)=C8,"OK","科目名不符")</f>
        <v>OK</v>
      </c>
      <c r="I8" s="4" t="s">
        <v>23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24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24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25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25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26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26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27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27</v>
      </c>
      <c r="H16" s="33" t="str">
        <f>IF(VLOOKUP(B16,辅助表!$A:$C,2,0)=C16,"OK","科目名不符")</f>
        <v>OK</v>
      </c>
    </row>
    <row r="17" spans="1:8" x14ac:dyDescent="0.25">
      <c r="A17" s="44" t="s">
        <v>28</v>
      </c>
      <c r="B17" s="29" t="s">
        <v>0</v>
      </c>
      <c r="C17" s="29" t="s">
        <v>1</v>
      </c>
      <c r="D17" s="29" t="s">
        <v>2</v>
      </c>
      <c r="E17" s="45" t="s">
        <v>29</v>
      </c>
      <c r="F17" s="45" t="s">
        <v>30</v>
      </c>
      <c r="G17" s="29" t="s">
        <v>31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120</v>
      </c>
      <c r="B1" s="35"/>
      <c r="C1" s="35"/>
      <c r="D1" s="35"/>
      <c r="E1" s="35"/>
      <c r="F1" s="35"/>
      <c r="H1" s="36" t="s">
        <v>129</v>
      </c>
      <c r="I1" s="36"/>
      <c r="J1" s="36"/>
      <c r="K1" s="36"/>
      <c r="L1" s="36"/>
      <c r="M1" s="36"/>
      <c r="N1" s="36"/>
    </row>
    <row r="3" spans="1:14" x14ac:dyDescent="0.25">
      <c r="A3" t="s">
        <v>121</v>
      </c>
      <c r="B3" s="19">
        <v>1000000</v>
      </c>
      <c r="H3" t="s">
        <v>130</v>
      </c>
      <c r="I3" s="16">
        <v>0.1</v>
      </c>
    </row>
    <row r="4" spans="1:14" x14ac:dyDescent="0.25">
      <c r="A4" t="s">
        <v>122</v>
      </c>
      <c r="B4" s="19">
        <v>4.4999999999999998E-2</v>
      </c>
      <c r="H4" t="s">
        <v>131</v>
      </c>
      <c r="I4">
        <v>-500000</v>
      </c>
    </row>
    <row r="5" spans="1:14" x14ac:dyDescent="0.25">
      <c r="A5" t="s">
        <v>123</v>
      </c>
      <c r="B5" s="19">
        <v>60</v>
      </c>
      <c r="H5" s="2" t="s">
        <v>132</v>
      </c>
      <c r="I5" s="2" t="s">
        <v>133</v>
      </c>
    </row>
    <row r="6" spans="1:14" x14ac:dyDescent="0.25">
      <c r="A6" s="20" t="s">
        <v>124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125</v>
      </c>
      <c r="B8" s="2" t="s">
        <v>69</v>
      </c>
      <c r="C8" s="2" t="s">
        <v>126</v>
      </c>
      <c r="D8" s="2" t="s">
        <v>127</v>
      </c>
      <c r="E8" s="2" t="s">
        <v>128</v>
      </c>
      <c r="F8" s="2" t="s">
        <v>68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134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135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101</v>
      </c>
      <c r="B1" s="15" t="s">
        <v>102</v>
      </c>
      <c r="C1" s="15" t="s">
        <v>103</v>
      </c>
      <c r="D1" s="15" t="s">
        <v>104</v>
      </c>
      <c r="E1" s="15" t="s">
        <v>105</v>
      </c>
      <c r="F1" s="15" t="s">
        <v>106</v>
      </c>
    </row>
    <row r="2" spans="1:6" x14ac:dyDescent="0.25">
      <c r="A2" t="s">
        <v>107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108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109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110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111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112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113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114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115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116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117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118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119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66</v>
      </c>
      <c r="B1" s="39"/>
      <c r="C1" s="39"/>
      <c r="D1" s="39"/>
      <c r="E1" s="39"/>
      <c r="F1" s="39"/>
    </row>
    <row r="2" spans="1:6" x14ac:dyDescent="0.25">
      <c r="A2" s="6" t="s">
        <v>67</v>
      </c>
      <c r="B2" s="7" t="s">
        <v>68</v>
      </c>
      <c r="C2" s="7" t="s">
        <v>69</v>
      </c>
      <c r="D2" s="7" t="s">
        <v>70</v>
      </c>
      <c r="E2" s="7" t="s">
        <v>68</v>
      </c>
      <c r="F2" s="8" t="s">
        <v>69</v>
      </c>
    </row>
    <row r="3" spans="1:6" x14ac:dyDescent="0.25">
      <c r="A3" s="9" t="s">
        <v>71</v>
      </c>
      <c r="B3" s="10"/>
      <c r="C3" s="10"/>
      <c r="D3" s="9" t="s">
        <v>72</v>
      </c>
      <c r="E3" s="10"/>
      <c r="F3" s="10"/>
    </row>
    <row r="4" spans="1:6" x14ac:dyDescent="0.25">
      <c r="A4" s="9" t="s">
        <v>73</v>
      </c>
      <c r="B4" s="10">
        <v>850000</v>
      </c>
      <c r="C4" s="10">
        <v>720000</v>
      </c>
      <c r="D4" s="9" t="s">
        <v>74</v>
      </c>
      <c r="E4" s="10">
        <v>200000</v>
      </c>
      <c r="F4" s="10">
        <v>150000</v>
      </c>
    </row>
    <row r="5" spans="1:6" x14ac:dyDescent="0.25">
      <c r="A5" s="9" t="s">
        <v>75</v>
      </c>
      <c r="B5" s="10">
        <v>430000</v>
      </c>
      <c r="C5" s="10">
        <v>380000</v>
      </c>
      <c r="D5" s="9" t="s">
        <v>76</v>
      </c>
      <c r="E5" s="10">
        <v>310000</v>
      </c>
      <c r="F5" s="10">
        <v>270000</v>
      </c>
    </row>
    <row r="6" spans="1:6" x14ac:dyDescent="0.25">
      <c r="A6" s="9" t="s">
        <v>77</v>
      </c>
      <c r="B6" s="10">
        <v>280000</v>
      </c>
      <c r="C6" s="10">
        <v>260000</v>
      </c>
      <c r="D6" s="9" t="s">
        <v>78</v>
      </c>
      <c r="E6" s="10">
        <v>45000</v>
      </c>
      <c r="F6" s="10">
        <v>38000</v>
      </c>
    </row>
    <row r="7" spans="1:6" x14ac:dyDescent="0.25">
      <c r="A7" s="9" t="s">
        <v>79</v>
      </c>
      <c r="B7" s="10">
        <v>35000</v>
      </c>
      <c r="C7" s="10">
        <v>28000</v>
      </c>
      <c r="D7" s="9" t="s">
        <v>80</v>
      </c>
      <c r="E7" s="10">
        <v>82000</v>
      </c>
      <c r="F7" s="10">
        <v>76000</v>
      </c>
    </row>
    <row r="8" spans="1:6" x14ac:dyDescent="0.25">
      <c r="A8" s="9" t="s">
        <v>81</v>
      </c>
      <c r="B8" s="10">
        <v>15000</v>
      </c>
      <c r="C8" s="10">
        <v>12000</v>
      </c>
      <c r="D8" s="9" t="s">
        <v>82</v>
      </c>
      <c r="E8" s="10">
        <v>28000</v>
      </c>
      <c r="F8" s="10">
        <v>24000</v>
      </c>
    </row>
    <row r="9" spans="1:6" x14ac:dyDescent="0.25">
      <c r="A9" s="11" t="s">
        <v>83</v>
      </c>
      <c r="B9" s="40">
        <f>SUM(B4:B8)</f>
        <v>1610000</v>
      </c>
      <c r="C9" s="40">
        <f>SUM(C4:C8)</f>
        <v>1400000</v>
      </c>
      <c r="D9" s="41" t="s">
        <v>84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85</v>
      </c>
      <c r="B11" s="10"/>
      <c r="C11" s="10"/>
      <c r="D11" s="9" t="s">
        <v>86</v>
      </c>
      <c r="E11" s="10"/>
      <c r="F11" s="10"/>
    </row>
    <row r="12" spans="1:6" x14ac:dyDescent="0.25">
      <c r="A12" s="9" t="s">
        <v>87</v>
      </c>
      <c r="B12" s="10">
        <v>1200000</v>
      </c>
      <c r="C12" s="10">
        <v>1350000</v>
      </c>
      <c r="D12" s="9" t="s">
        <v>88</v>
      </c>
      <c r="E12" s="10">
        <v>500000</v>
      </c>
      <c r="F12" s="10">
        <v>600000</v>
      </c>
    </row>
    <row r="13" spans="1:6" x14ac:dyDescent="0.25">
      <c r="A13" s="9" t="s">
        <v>89</v>
      </c>
      <c r="B13" s="10">
        <v>180000</v>
      </c>
      <c r="C13" s="10">
        <v>200000</v>
      </c>
      <c r="D13" s="9" t="s">
        <v>90</v>
      </c>
      <c r="E13" s="10">
        <v>80000</v>
      </c>
      <c r="F13" s="10">
        <v>90000</v>
      </c>
    </row>
    <row r="14" spans="1:6" x14ac:dyDescent="0.25">
      <c r="A14" s="11" t="s">
        <v>91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92</v>
      </c>
      <c r="B15" s="10"/>
      <c r="C15" s="10"/>
      <c r="D15" s="9" t="s">
        <v>93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94</v>
      </c>
      <c r="E17" s="10"/>
      <c r="F17" s="10"/>
    </row>
    <row r="18" spans="1:6" x14ac:dyDescent="0.25">
      <c r="A18" s="9"/>
      <c r="B18" s="10"/>
      <c r="C18" s="10"/>
      <c r="D18" s="9" t="s">
        <v>95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96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97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98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99</v>
      </c>
      <c r="B22" s="9"/>
      <c r="C22" s="9"/>
      <c r="D22" s="9" t="s">
        <v>100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34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33</v>
      </c>
      <c r="C2" s="7" t="s">
        <v>32</v>
      </c>
      <c r="D2" s="7" t="s">
        <v>35</v>
      </c>
      <c r="E2" s="7" t="s">
        <v>33</v>
      </c>
      <c r="F2" s="8" t="s">
        <v>32</v>
      </c>
    </row>
    <row r="3" spans="1:6" x14ac:dyDescent="0.25">
      <c r="A3" s="9" t="s">
        <v>36</v>
      </c>
      <c r="B3" s="10"/>
      <c r="C3" s="10"/>
      <c r="D3" s="9" t="s">
        <v>37</v>
      </c>
      <c r="E3" s="10"/>
      <c r="F3" s="10"/>
    </row>
    <row r="4" spans="1:6" x14ac:dyDescent="0.25">
      <c r="A4" s="9" t="s">
        <v>38</v>
      </c>
      <c r="B4" s="10">
        <v>850000</v>
      </c>
      <c r="C4" s="10">
        <v>720000</v>
      </c>
      <c r="D4" s="9" t="s">
        <v>39</v>
      </c>
      <c r="E4" s="10">
        <v>200000</v>
      </c>
      <c r="F4" s="10">
        <v>150000</v>
      </c>
    </row>
    <row r="5" spans="1:6" x14ac:dyDescent="0.25">
      <c r="A5" s="9" t="s">
        <v>40</v>
      </c>
      <c r="B5" s="10">
        <v>430000</v>
      </c>
      <c r="C5" s="10">
        <v>380000</v>
      </c>
      <c r="D5" s="9" t="s">
        <v>41</v>
      </c>
      <c r="E5" s="10">
        <v>310000</v>
      </c>
      <c r="F5" s="10">
        <v>270000</v>
      </c>
    </row>
    <row r="6" spans="1:6" x14ac:dyDescent="0.25">
      <c r="A6" s="9" t="s">
        <v>42</v>
      </c>
      <c r="B6" s="10">
        <v>280000</v>
      </c>
      <c r="C6" s="10">
        <v>260000</v>
      </c>
      <c r="D6" s="9" t="s">
        <v>43</v>
      </c>
      <c r="E6" s="10">
        <v>45000</v>
      </c>
      <c r="F6" s="10">
        <v>38000</v>
      </c>
    </row>
    <row r="7" spans="1:6" x14ac:dyDescent="0.25">
      <c r="A7" s="9" t="s">
        <v>44</v>
      </c>
      <c r="B7" s="10">
        <v>35000</v>
      </c>
      <c r="C7" s="10">
        <v>28000</v>
      </c>
      <c r="D7" s="9" t="s">
        <v>45</v>
      </c>
      <c r="E7" s="10">
        <v>82000</v>
      </c>
      <c r="F7" s="10">
        <v>76000</v>
      </c>
    </row>
    <row r="8" spans="1:6" x14ac:dyDescent="0.25">
      <c r="A8" s="9" t="s">
        <v>46</v>
      </c>
      <c r="B8" s="10">
        <v>15000</v>
      </c>
      <c r="C8" s="10">
        <v>12000</v>
      </c>
      <c r="D8" s="9" t="s">
        <v>47</v>
      </c>
      <c r="E8" s="10">
        <v>28000</v>
      </c>
      <c r="F8" s="10">
        <v>24000</v>
      </c>
    </row>
    <row r="9" spans="1:6" x14ac:dyDescent="0.25">
      <c r="A9" s="11" t="s">
        <v>48</v>
      </c>
      <c r="B9" s="5">
        <f>SUM(B4:B8)</f>
        <v>1610000</v>
      </c>
      <c r="C9" s="5">
        <f>SUM(C4:C8)</f>
        <v>1400000</v>
      </c>
      <c r="D9" s="13" t="s">
        <v>49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50</v>
      </c>
      <c r="B11" s="10"/>
      <c r="C11" s="10"/>
      <c r="D11" s="9" t="s">
        <v>51</v>
      </c>
      <c r="E11" s="10"/>
      <c r="F11" s="10"/>
    </row>
    <row r="12" spans="1:6" x14ac:dyDescent="0.25">
      <c r="A12" s="9" t="s">
        <v>52</v>
      </c>
      <c r="B12" s="10">
        <v>1200000</v>
      </c>
      <c r="C12" s="10">
        <v>1350000</v>
      </c>
      <c r="D12" s="9" t="s">
        <v>53</v>
      </c>
      <c r="E12" s="10">
        <v>500000</v>
      </c>
      <c r="F12" s="10">
        <v>600000</v>
      </c>
    </row>
    <row r="13" spans="1:6" x14ac:dyDescent="0.25">
      <c r="A13" s="9" t="s">
        <v>54</v>
      </c>
      <c r="B13" s="10">
        <v>180000</v>
      </c>
      <c r="C13" s="10">
        <v>200000</v>
      </c>
      <c r="D13" s="9" t="s">
        <v>55</v>
      </c>
      <c r="E13" s="10">
        <v>80000</v>
      </c>
      <c r="F13" s="10">
        <v>90000</v>
      </c>
    </row>
    <row r="14" spans="1:6" x14ac:dyDescent="0.25">
      <c r="A14" s="11" t="s">
        <v>56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57</v>
      </c>
      <c r="B15" s="10"/>
      <c r="C15" s="10"/>
      <c r="D15" s="9" t="s">
        <v>58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59</v>
      </c>
      <c r="E17" s="10"/>
      <c r="F17" s="10"/>
    </row>
    <row r="18" spans="1:6" x14ac:dyDescent="0.25">
      <c r="A18" s="9"/>
      <c r="B18" s="10"/>
      <c r="C18" s="10"/>
      <c r="D18" s="9" t="s">
        <v>60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61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62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63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64</v>
      </c>
      <c r="B22" s="9"/>
      <c r="C22" s="9"/>
      <c r="D22" s="9" t="s">
        <v>65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2026-05-06T01:57:32Z</dcterms:modified>
</cp:coreProperties>
</file>