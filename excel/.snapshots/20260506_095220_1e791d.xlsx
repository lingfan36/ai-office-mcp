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B802752-AB7F-4228-872F-A1F2F9EF7DDF}" xr6:coauthVersionLast="47" xr6:coauthVersionMax="47" xr10:uidLastSave="{00000000-0000-0000-0000-000000000000}"/>
  <bookViews>
    <workbookView xWindow="6340" yWindow="370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4" l="1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/>
  <c r="C10" i="3"/>
  <c r="E10" i="3" s="1"/>
  <c r="D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F10" i="3" l="1"/>
  <c r="B11" i="3" s="1"/>
  <c r="D11" i="3" l="1"/>
  <c r="E11" i="3" s="1"/>
  <c r="F11" i="3" s="1"/>
  <c r="B12" i="3" s="1"/>
  <c r="D12" i="3" l="1"/>
  <c r="E12" i="3" s="1"/>
  <c r="F12" i="3"/>
  <c r="B13" i="3" s="1"/>
  <c r="D13" i="3" l="1"/>
  <c r="E13" i="3" s="1"/>
  <c r="F13" i="3" s="1"/>
  <c r="B14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/>
  <c r="B18" i="3" s="1"/>
  <c r="D18" i="3" l="1"/>
  <c r="E18" i="3" s="1"/>
  <c r="F18" i="3"/>
  <c r="B19" i="3" s="1"/>
  <c r="D19" i="3" l="1"/>
  <c r="E19" i="3" s="1"/>
  <c r="F19" i="3"/>
  <c r="B20" i="3" s="1"/>
  <c r="D20" i="3" l="1"/>
  <c r="E20" i="3" s="1"/>
  <c r="F20" i="3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<sst xmlns="http://schemas.openxmlformats.org/spreadsheetml/2006/main" count="164" uniqueCount="105">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</sst>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  <xf numFmtId="4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E955-562A-458F-9BA0-9E0DD5F20559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12ECF-9927-4F36-ABF2-E949864E3C8F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1000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s="39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s="39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s="39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s="39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s="39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H7" s="39" t="str">
        <f>IF(VLOOKUP(B7,辅助表!$A:$C,2,0)=C7,"OK","科目名不符")</f>
        <v>OK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H8" s="39" t="str">
        <f>IF(VLOOKUP(B8,辅助表!$A:$C,2,0)=C8,"OK","科目名不符")</f>
        <v>OK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  <c r="H9" s="39" t="str">
        <f>IF(VLOOKUP(B9,辅助表!$A:$C,2,0)=C9,"OK","科目名不符")</f>
        <v>OK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  <c r="H10" s="39" t="str">
        <f>IF(VLOOKUP(B10,辅助表!$A:$C,2,0)=C10,"OK","科目名不符")</f>
        <v>OK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  <c r="H11" s="39" t="str">
        <f>IF(VLOOKUP(B11,辅助表!$A:$C,2,0)=C11,"OK","科目名不符")</f>
        <v>OK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  <c r="H12" s="39" t="str">
        <f>IF(VLOOKUP(B12,辅助表!$A:$C,2,0)=C12,"OK","科目名不符")</f>
        <v>OK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  <c r="H13" s="39" t="str">
        <f>IF(VLOOKUP(B13,辅助表!$A:$C,2,0)=C13,"OK","科目名不符")</f>
        <v>OK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  <c r="H14" s="39" t="str">
        <f>IF(VLOOKUP(B14,辅助表!$A:$C,2,0)=C14,"OK","科目名不符")</f>
        <v>OK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  <c r="H15" s="39" t="str">
        <f>IF(VLOOKUP(B15,辅助表!$A:$C,2,0)=C15,"OK","科目名不符")</f>
        <v>OK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  <c r="H16" s="39" t="str">
        <f>IF(VLOOKUP(B16,辅助表!$A:$C,2,0)=C16,"OK","科目名不符")</f>
        <v>OK</v>
      </c>
    </row>
    <row r="17" spans="1:8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  <c r="H17" s="39" t="str">
        <f>IF(VLOOKUP(B17,辅助表!$A:$C,2,0)=C17,"OK","科目名不符")</f>
        <v>OK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dataValidations count="2">
    <dataValidation type="list" allowBlank="1" showInputMessage="1" showErrorMessage="1" prompt="请选择科目类型" sqref="D2:D17" xr:uid="{31FCF7CC-71A2-47E7-AD2C-4CA9F33C6E29}">
      <formula1>"资产,负债,权益,收入,费用"</formula1>
    </dataValidation>
    <dataValidation type="decimal" operator="greaterThanOrEqual" allowBlank="1" showInputMessage="1" showErrorMessage="1" error="金额不能为负数" sqref="E2:F17" xr:uid="{752FBFEA-5BA6-4775-8F71-2C58EC65DBEA}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058D4-34FE-442A-A424-A67C04C60E0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4753B-3D75-4E3D-AA77-1F3805226E7C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{178EC54B-1E5B-4A82-B220-A8CC7162A172}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8EC54B-1E5B-4A82-B220-A8CC7162A172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2026-05-06T01:52:13Z</dcterms:created>
  <dcterms:modified xsi:type="dcterms:W3CDTF">2026-05-06T01:52:20Z</dcterms:modified>
</cp:coreProperties>
</file>