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C4FE362-CD61-4220-9028-A8F546A5AE94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pivotCaches>
    <pivotCache cacheId="160" r:id="rId6"/>
    <pivotCache cacheId="17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<sst xmlns="http://schemas.openxmlformats.org/spreadsheetml/2006/main" count="278" uniqueCount="106">
  <si>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</si>
  <si>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</si>
  <si>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</si>
  <si>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</si>
  <si>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</si>
  <si>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</si>
  <si>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</si>
  <si>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</si>
  <si>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</si>
  <si>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</si>
  <si>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</si>
  <si>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</si>
  <si>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</si>
  <si>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</si>
  <si>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</si>
  <si>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</si>
  <si>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</si>
  <si>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</si>
  <si>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</si>
  <si>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</si>
  <si>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</si>
  <si>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</si>
  <si>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</si>
  <si>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</si>
  <si>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</si>
  <si>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</si>
  <si>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</si>
  <si>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</si>
  <si>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</si>
  <si>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</si>
  <si>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</si>
  <si>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</si>
  <si>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</si>
  <si>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</si>
  <si>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</si>
  <si>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</si>
  <si>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</si>
  <si>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</si>
  <si>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</si>
  <si>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</si>
  <si>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</si>
  <si>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</si>
  <si>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</si>
  <si>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</si>
  <si>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</si>
  <si>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</si>
  <si>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</si>
  <si>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</si>
  <si>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</si>
  <si>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</si>
  <si>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</si>
  <si>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</si>
  <si>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</si>
  <si>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</si>
  <si>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</si>
  <si>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</si>
  <si>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</si>
  <si>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</si>
  <si>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</si>
  <si>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</si>
  <si>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</si>
  <si>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</si>
  <si>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</si>
  <si>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</si>
  <si>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</si>
  <si>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</si>
  <si>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</si>
  <si>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</si>
  <si>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</si>
  <si>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</si>
  <si>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</si>
  <si>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</si>
  <si>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</si>
  <si>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</si>
  <si>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</si>
  <si>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</si>
  <si>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</si>
  <si>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</si>
  <si>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</si>
  <si>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</si>
  <si>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</si>
  <si>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</si>
  <si>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</si>
  <si>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</si>
  <si>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</si>
  <si>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</si>
  <si>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</si>
  <si>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</si>
  <si>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</si>
  <si>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</si>
  <si>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</si>
  <si>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</si>
  <si>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</si>
  <si>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</si>
  <si>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</si>
  <si>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</si>
  <si>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</si>
  <si>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</si>
  <si>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</si>
  <si>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</si>
  <si>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</si>
  <si>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</si>
  <si>
    <t>▌ 薪酬汇总（按部门）</t>
  </si>
  <si>
    <t>行标签</t>
  </si>
  <si>
    <t>总计</t>
  </si>
  <si>
    <t>▌ 社保 &amp; 公积金汇总（按部门）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</si>
</sst>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 indent="1"/>
    </xf>
    <xf numFmtId="4" fontId="0" fillId="0" borderId="0" xfId="0" applyNumberFormat="1" applyAlignment="1">
      <alignment horizontal="left" indent="2"/>
    </xf>
    <xf numFmtId="4" fontId="0" fillId="0" borderId="0" xfId="0" applyNumberFormat="1" applyAlignment="1">
      <alignment horizontal="left" indent="3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亚勇" refreshedDate="46148.505251967596" createdVersion="8" refreshedVersion="8" minRefreshableVersion="3" recordCount="15" xr:uid="{E9F90ED7-F03F-4DAB-87BF-43937BB625CC}">
  <cacheSource type="worksheet">
    <worksheetSource ref="A2:K17" sheet="薪酬统计"/>
  </cacheSource>
  <cacheFields count="11">
    <cacheField name="编号" numFmtId="0">
      <sharedItems/>
    </cacheField>
    <cacheField name="姓名" numFmtId="0">
      <sharedItems/>
    </cacheField>
    <cacheField name="部门" numFmtId="0">
      <sharedItems count="5">
        <s v="研发部"/>
        <s v="市场部"/>
        <s v="财务部"/>
        <s v="人事部"/>
        <s v="运营部"/>
      </sharedItems>
    </cacheField>
    <cacheField name="基本工资" numFmtId="4">
      <sharedItems containsSemiMixedTypes="0" containsString="0" containsNumber="1" containsInteger="1" minValue="6500" maxValue="15000"/>
    </cacheField>
    <cacheField name="岗位工资" numFmtId="4">
      <sharedItems containsSemiMixedTypes="0" containsString="0" containsNumber="1" containsInteger="1" minValue="1500" maxValue="8000"/>
    </cacheField>
    <cacheField name="绩效工资" numFmtId="4">
      <sharedItems containsSemiMixedTypes="0" containsString="0" containsNumber="1" containsInteger="1" minValue="1500" maxValue="8000"/>
    </cacheField>
    <cacheField name="餐补/交补" numFmtId="4">
      <sharedItems containsSemiMixedTypes="0" containsString="0" containsNumber="1" containsInteger="1" minValue="500" maxValue="500"/>
    </cacheField>
    <cacheField name="应发合计" numFmtId="4">
      <sharedItems containsSemiMixedTypes="0" containsString="0" containsNumber="1" containsInteger="1" minValue="10000" maxValue="29500" count="12">
        <n v="29500"/>
        <n v="22000"/>
        <n v="16500"/>
        <n v="14500"/>
        <n v="19500"/>
        <n v="11500"/>
        <n v="24500"/>
        <n v="12500"/>
        <n v="10000"/>
        <n v="21500"/>
        <n v="12000"/>
        <n v="11000"/>
      </sharedItems>
    </cacheField>
    <cacheField name="社保个人" numFmtId="4">
      <sharedItems containsSemiMixedTypes="0" containsString="0" containsNumber="1" minValue="682.5" maxValue="1575"/>
    </cacheField>
    <cacheField name="个人所得税" numFmtId="4">
      <sharedItems containsSemiMixedTypes="0" containsString="0" containsNumber="1" minValue="129.53" maxValue="690.9" count="14">
        <n v="687.75"/>
        <n v="472.2"/>
        <n v="313.5"/>
        <n v="256.64999999999998"/>
        <n v="690.9"/>
        <n v="403.5"/>
        <n v="172.95"/>
        <n v="544.04999999999995"/>
        <n v="199.8"/>
        <n v="129.53"/>
        <n v="457.2"/>
        <n v="186.38"/>
        <n v="460.35"/>
        <n v="157.94999999999999"/>
      </sharedItems>
    </cacheField>
    <cacheField name="实发工资" numFmtId="4">
      <sharedItems containsSemiMixedTypes="0" containsString="0" containsNumber="1" minValue="9187.9699999999993" maxValue="27339.1" count="14">
        <n v="27237.25"/>
        <n v="20267.8"/>
        <n v="15136.5"/>
        <n v="13298.35"/>
        <n v="27339.1"/>
        <n v="18046.5"/>
        <n v="10592.05"/>
        <n v="22590.95"/>
        <n v="11460.2"/>
        <n v="9187.9699999999993"/>
        <n v="19782.8"/>
        <n v="11026.12"/>
        <n v="19884.650000000001"/>
        <n v="10107.04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亚勇" refreshedDate="46148.505255671298" createdVersion="8" refreshedVersion="8" minRefreshableVersion="3" recordCount="15" xr:uid="{64587D9D-36C4-4485-BC58-CE064734C413}">
  <cacheSource type="worksheet">
    <worksheetSource ref="A3:P18" sheet="社保明细"/>
  </cacheSource>
  <cacheFields count="16">
    <cacheField name="编号" numFmtId="0">
      <sharedItems/>
    </cacheField>
    <cacheField name="姓名" numFmtId="0">
      <sharedItems/>
    </cacheField>
    <cacheField name="部门" numFmtId="0">
      <sharedItems count="5">
        <s v="研发部"/>
        <s v="市场部"/>
        <s v="财务部"/>
        <s v="人事部"/>
        <s v="运营部"/>
      </sharedItems>
    </cacheField>
    <cacheField name="养老(单位16%)" numFmtId="4">
      <sharedItems containsSemiMixedTypes="0" containsString="0" containsNumber="1" containsInteger="1" minValue="1040" maxValue="2400"/>
    </cacheField>
    <cacheField name="养老(个人8%)" numFmtId="4">
      <sharedItems containsSemiMixedTypes="0" containsString="0" containsNumber="1" containsInteger="1" minValue="520" maxValue="1200"/>
    </cacheField>
    <cacheField name="医疗(单位8%)" numFmtId="4">
      <sharedItems containsSemiMixedTypes="0" containsString="0" containsNumber="1" containsInteger="1" minValue="520" maxValue="1200"/>
    </cacheField>
    <cacheField name="医疗(个人2%)" numFmtId="4">
      <sharedItems containsSemiMixedTypes="0" containsString="0" containsNumber="1" containsInteger="1" minValue="130" maxValue="300"/>
    </cacheField>
    <cacheField name="失业(单位0.5%)" numFmtId="4">
      <sharedItems containsSemiMixedTypes="0" containsString="0" containsNumber="1" minValue="32.5" maxValue="75"/>
    </cacheField>
    <cacheField name="失业(个人0.5%)" numFmtId="4">
      <sharedItems containsSemiMixedTypes="0" containsString="0" containsNumber="1" minValue="32.5" maxValue="75"/>
    </cacheField>
    <cacheField name="工伤(单位0.4%)" numFmtId="4">
      <sharedItems containsSemiMixedTypes="0" containsString="0" containsNumber="1" containsInteger="1" minValue="26" maxValue="60"/>
    </cacheField>
    <cacheField name="生育(单位0.8%)" numFmtId="4">
      <sharedItems containsSemiMixedTypes="0" containsString="0" containsNumber="1" containsInteger="1" minValue="52" maxValue="120"/>
    </cacheField>
    <cacheField name="字段12" caption="字段12" numFmtId="4">
      <sharedItems containsNonDate="0" containsString="0" containsBlank="1"/>
    </cacheField>
    <cacheField name="公积金(单位12%)" numFmtId="4">
      <sharedItems containsSemiMixedTypes="0" containsString="0" containsNumber="1" containsInteger="1" minValue="780" maxValue="1800"/>
    </cacheField>
    <cacheField name="公积金(个人12%)" numFmtId="4">
      <sharedItems containsSemiMixedTypes="0" containsString="0" containsNumber="1" containsInteger="1" minValue="780" maxValue="1800"/>
    </cacheField>
    <cacheField name="社保合计(个人)" numFmtId="4">
      <sharedItems containsSemiMixedTypes="0" containsString="0" containsNumber="1" minValue="682.5" maxValue="1575" count="11">
        <n v="1575"/>
        <n v="1260"/>
        <n v="1050"/>
        <n v="945"/>
        <n v="1470"/>
        <n v="735"/>
        <n v="1365"/>
        <n v="840"/>
        <n v="682.5"/>
        <n v="787.5"/>
        <n v="1155"/>
      </sharedItems>
    </cacheField>
    <cacheField name="公积金合计(个人)" numFmtId="4">
      <sharedItems containsSemiMixedTypes="0" containsString="0" containsNumber="1" containsInteger="1" minValue="780" maxValue="1800" count="11">
        <n v="1800"/>
        <n v="1440"/>
        <n v="1200"/>
        <n v="1080"/>
        <n v="1680"/>
        <n v="840"/>
        <n v="1560"/>
        <n v="960"/>
        <n v="780"/>
        <n v="900"/>
        <n v="13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张明"/>
    <x v="0"/>
    <n v="15000"/>
    <n v="8000"/>
    <n v="6000"/>
    <n v="500"/>
    <x v="0"/>
    <n v="1575"/>
    <x v="0"/>
    <x v="0"/>
  </r>
  <r>
    <s v="E002"/>
    <s v="李娜"/>
    <x v="0"/>
    <n v="12000"/>
    <n v="5000"/>
    <n v="4500"/>
    <n v="500"/>
    <x v="1"/>
    <n v="1260"/>
    <x v="1"/>
    <x v="1"/>
  </r>
  <r>
    <s v="E003"/>
    <s v="王强"/>
    <x v="0"/>
    <n v="10000"/>
    <n v="3000"/>
    <n v="3000"/>
    <n v="500"/>
    <x v="2"/>
    <n v="1050"/>
    <x v="2"/>
    <x v="2"/>
  </r>
  <r>
    <s v="E004"/>
    <s v="赵磊"/>
    <x v="0"/>
    <n v="9000"/>
    <n v="2500"/>
    <n v="2500"/>
    <n v="500"/>
    <x v="3"/>
    <n v="945"/>
    <x v="3"/>
    <x v="3"/>
  </r>
  <r>
    <s v="E005"/>
    <s v="陈静"/>
    <x v="1"/>
    <n v="14000"/>
    <n v="7000"/>
    <n v="8000"/>
    <n v="500"/>
    <x v="0"/>
    <n v="1470"/>
    <x v="4"/>
    <x v="4"/>
  </r>
  <r>
    <s v="E006"/>
    <s v="刘洋"/>
    <x v="1"/>
    <n v="10000"/>
    <n v="4000"/>
    <n v="5000"/>
    <n v="500"/>
    <x v="4"/>
    <n v="1050"/>
    <x v="5"/>
    <x v="5"/>
  </r>
  <r>
    <s v="E007"/>
    <s v="孙芳"/>
    <x v="1"/>
    <n v="7000"/>
    <n v="2000"/>
    <n v="2000"/>
    <n v="500"/>
    <x v="5"/>
    <n v="735"/>
    <x v="6"/>
    <x v="6"/>
  </r>
  <r>
    <s v="E008"/>
    <s v="周涛"/>
    <x v="2"/>
    <n v="13000"/>
    <n v="6000"/>
    <n v="5000"/>
    <n v="500"/>
    <x v="6"/>
    <n v="1365"/>
    <x v="7"/>
    <x v="7"/>
  </r>
  <r>
    <s v="E009"/>
    <s v="吴梅"/>
    <x v="2"/>
    <n v="8000"/>
    <n v="2000"/>
    <n v="2000"/>
    <n v="500"/>
    <x v="7"/>
    <n v="840"/>
    <x v="8"/>
    <x v="8"/>
  </r>
  <r>
    <s v="E010"/>
    <s v="郑华"/>
    <x v="2"/>
    <n v="6500"/>
    <n v="1500"/>
    <n v="1500"/>
    <n v="500"/>
    <x v="8"/>
    <n v="682.5"/>
    <x v="9"/>
    <x v="9"/>
  </r>
  <r>
    <s v="E011"/>
    <s v="冯丽"/>
    <x v="3"/>
    <n v="12000"/>
    <n v="5000"/>
    <n v="4000"/>
    <n v="500"/>
    <x v="9"/>
    <n v="1260"/>
    <x v="10"/>
    <x v="10"/>
  </r>
  <r>
    <s v="E012"/>
    <s v="陈刚"/>
    <x v="3"/>
    <n v="7500"/>
    <n v="2000"/>
    <n v="2000"/>
    <n v="500"/>
    <x v="10"/>
    <n v="787.5"/>
    <x v="11"/>
    <x v="11"/>
  </r>
  <r>
    <s v="E013"/>
    <s v="褚燕"/>
    <x v="4"/>
    <n v="11000"/>
    <n v="5000"/>
    <n v="5000"/>
    <n v="500"/>
    <x v="9"/>
    <n v="1155"/>
    <x v="12"/>
    <x v="12"/>
  </r>
  <r>
    <s v="E014"/>
    <s v="卫东"/>
    <x v="4"/>
    <n v="7000"/>
    <n v="2000"/>
    <n v="2000"/>
    <n v="500"/>
    <x v="5"/>
    <n v="735"/>
    <x v="6"/>
    <x v="6"/>
  </r>
  <r>
    <s v="E015"/>
    <s v="蒋涛"/>
    <x v="4"/>
    <n v="7000"/>
    <n v="2000"/>
    <n v="1500"/>
    <n v="500"/>
    <x v="11"/>
    <n v="735"/>
    <x v="13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张明"/>
    <x v="0"/>
    <n v="2400"/>
    <n v="1200"/>
    <n v="1200"/>
    <n v="300"/>
    <n v="75"/>
    <n v="75"/>
    <n v="60"/>
    <n v="120"/>
    <m/>
    <n v="1800"/>
    <n v="1800"/>
    <x v="0"/>
    <x v="0"/>
  </r>
  <r>
    <s v="E002"/>
    <s v="李娜"/>
    <x v="0"/>
    <n v="1920"/>
    <n v="960"/>
    <n v="960"/>
    <n v="240"/>
    <n v="60"/>
    <n v="60"/>
    <n v="48"/>
    <n v="96"/>
    <m/>
    <n v="1440"/>
    <n v="1440"/>
    <x v="1"/>
    <x v="1"/>
  </r>
  <r>
    <s v="E003"/>
    <s v="王强"/>
    <x v="0"/>
    <n v="1600"/>
    <n v="800"/>
    <n v="800"/>
    <n v="200"/>
    <n v="50"/>
    <n v="50"/>
    <n v="40"/>
    <n v="80"/>
    <m/>
    <n v="1200"/>
    <n v="1200"/>
    <x v="2"/>
    <x v="2"/>
  </r>
  <r>
    <s v="E004"/>
    <s v="赵磊"/>
    <x v="0"/>
    <n v="1440"/>
    <n v="720"/>
    <n v="720"/>
    <n v="180"/>
    <n v="45"/>
    <n v="45"/>
    <n v="36"/>
    <n v="72"/>
    <m/>
    <n v="1080"/>
    <n v="1080"/>
    <x v="3"/>
    <x v="3"/>
  </r>
  <r>
    <s v="E005"/>
    <s v="陈静"/>
    <x v="1"/>
    <n v="2240"/>
    <n v="1120"/>
    <n v="1120"/>
    <n v="280"/>
    <n v="70"/>
    <n v="70"/>
    <n v="56"/>
    <n v="112"/>
    <m/>
    <n v="1680"/>
    <n v="1680"/>
    <x v="4"/>
    <x v="4"/>
  </r>
  <r>
    <s v="E006"/>
    <s v="刘洋"/>
    <x v="1"/>
    <n v="1600"/>
    <n v="800"/>
    <n v="800"/>
    <n v="200"/>
    <n v="50"/>
    <n v="50"/>
    <n v="40"/>
    <n v="80"/>
    <m/>
    <n v="1200"/>
    <n v="1200"/>
    <x v="2"/>
    <x v="2"/>
  </r>
  <r>
    <s v="E007"/>
    <s v="孙芳"/>
    <x v="1"/>
    <n v="1120"/>
    <n v="560"/>
    <n v="560"/>
    <n v="140"/>
    <n v="35"/>
    <n v="35"/>
    <n v="28"/>
    <n v="56"/>
    <m/>
    <n v="840"/>
    <n v="840"/>
    <x v="5"/>
    <x v="5"/>
  </r>
  <r>
    <s v="E008"/>
    <s v="周涛"/>
    <x v="2"/>
    <n v="2080"/>
    <n v="1040"/>
    <n v="1040"/>
    <n v="260"/>
    <n v="65"/>
    <n v="65"/>
    <n v="52"/>
    <n v="104"/>
    <m/>
    <n v="1560"/>
    <n v="1560"/>
    <x v="6"/>
    <x v="6"/>
  </r>
  <r>
    <s v="E009"/>
    <s v="吴梅"/>
    <x v="2"/>
    <n v="1280"/>
    <n v="640"/>
    <n v="640"/>
    <n v="160"/>
    <n v="40"/>
    <n v="40"/>
    <n v="32"/>
    <n v="64"/>
    <m/>
    <n v="960"/>
    <n v="960"/>
    <x v="7"/>
    <x v="7"/>
  </r>
  <r>
    <s v="E010"/>
    <s v="郑华"/>
    <x v="2"/>
    <n v="1040"/>
    <n v="520"/>
    <n v="520"/>
    <n v="130"/>
    <n v="32.5"/>
    <n v="32.5"/>
    <n v="26"/>
    <n v="52"/>
    <m/>
    <n v="780"/>
    <n v="780"/>
    <x v="8"/>
    <x v="8"/>
  </r>
  <r>
    <s v="E011"/>
    <s v="冯丽"/>
    <x v="3"/>
    <n v="1920"/>
    <n v="960"/>
    <n v="960"/>
    <n v="240"/>
    <n v="60"/>
    <n v="60"/>
    <n v="48"/>
    <n v="96"/>
    <m/>
    <n v="1440"/>
    <n v="1440"/>
    <x v="1"/>
    <x v="1"/>
  </r>
  <r>
    <s v="E012"/>
    <s v="陈刚"/>
    <x v="3"/>
    <n v="1200"/>
    <n v="600"/>
    <n v="600"/>
    <n v="150"/>
    <n v="37.5"/>
    <n v="37.5"/>
    <n v="30"/>
    <n v="60"/>
    <m/>
    <n v="900"/>
    <n v="900"/>
    <x v="9"/>
    <x v="9"/>
  </r>
  <r>
    <s v="E013"/>
    <s v="褚燕"/>
    <x v="4"/>
    <n v="1760"/>
    <n v="880"/>
    <n v="880"/>
    <n v="220"/>
    <n v="55"/>
    <n v="55"/>
    <n v="44"/>
    <n v="88"/>
    <m/>
    <n v="1320"/>
    <n v="1320"/>
    <x v="10"/>
    <x v="10"/>
  </r>
  <r>
    <s v="E014"/>
    <s v="卫东"/>
    <x v="4"/>
    <n v="1120"/>
    <n v="560"/>
    <n v="560"/>
    <n v="140"/>
    <n v="35"/>
    <n v="35"/>
    <n v="28"/>
    <n v="56"/>
    <m/>
    <n v="840"/>
    <n v="840"/>
    <x v="5"/>
    <x v="5"/>
  </r>
  <r>
    <s v="E015"/>
    <s v="蒋涛"/>
    <x v="4"/>
    <n v="1120"/>
    <n v="560"/>
    <n v="560"/>
    <n v="140"/>
    <n v="35"/>
    <n v="35"/>
    <n v="28"/>
    <n v="56"/>
    <m/>
    <n v="840"/>
    <n v="840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595A8-4929-4DA1-A524-BF334C6E858A}" name="社保透视" cacheId="17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59:A93" firstHeaderRow="1" firstDataRow="1" firstDataCol="1"/>
  <pivotFields count="16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4" showAll="0"/>
    <pivotField axis="axisRow" numFmtId="4" showAll="0">
      <items count="12">
        <item x="8"/>
        <item x="5"/>
        <item x="9"/>
        <item x="7"/>
        <item x="3"/>
        <item x="2"/>
        <item x="10"/>
        <item x="1"/>
        <item x="6"/>
        <item x="4"/>
        <item x="0"/>
        <item t="default"/>
      </items>
    </pivotField>
    <pivotField axis="axisRow" numFmtId="4" showAll="0">
      <items count="12">
        <item x="8"/>
        <item x="5"/>
        <item x="9"/>
        <item x="7"/>
        <item x="3"/>
        <item x="2"/>
        <item x="10"/>
        <item x="1"/>
        <item x="6"/>
        <item x="4"/>
        <item x="0"/>
        <item t="default"/>
      </items>
    </pivotField>
  </pivotFields>
  <rowFields count="3">
    <field x="2"/>
    <field x="14"/>
    <field x="15"/>
  </rowFields>
  <rowItems count="34">
    <i>
      <x/>
    </i>
    <i r="1">
      <x/>
    </i>
    <i r="2">
      <x/>
    </i>
    <i r="1">
      <x v="3"/>
    </i>
    <i r="2">
      <x v="3"/>
    </i>
    <i r="1">
      <x v="8"/>
    </i>
    <i r="2">
      <x v="8"/>
    </i>
    <i>
      <x v="1"/>
    </i>
    <i r="1">
      <x v="2"/>
    </i>
    <i r="2">
      <x v="2"/>
    </i>
    <i r="1">
      <x v="7"/>
    </i>
    <i r="2">
      <x v="7"/>
    </i>
    <i>
      <x v="2"/>
    </i>
    <i r="1">
      <x v="1"/>
    </i>
    <i r="2">
      <x v="1"/>
    </i>
    <i r="1">
      <x v="5"/>
    </i>
    <i r="2">
      <x v="5"/>
    </i>
    <i r="1">
      <x v="9"/>
    </i>
    <i r="2">
      <x v="9"/>
    </i>
    <i>
      <x v="3"/>
    </i>
    <i r="1">
      <x v="4"/>
    </i>
    <i r="2">
      <x v="4"/>
    </i>
    <i r="1">
      <x v="5"/>
    </i>
    <i r="2">
      <x v="5"/>
    </i>
    <i r="1">
      <x v="7"/>
    </i>
    <i r="2">
      <x v="7"/>
    </i>
    <i r="1">
      <x v="10"/>
    </i>
    <i r="2">
      <x v="10"/>
    </i>
    <i>
      <x v="4"/>
    </i>
    <i r="1">
      <x v="1"/>
    </i>
    <i r="2">
      <x v="1"/>
    </i>
    <i r="1">
      <x v="6"/>
    </i>
    <i r="2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98981-5016-4E73-9E8E-7BD02CECD5D2}" name="薪酬透视" cacheId="16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54" firstHeaderRow="1" firstDataRow="1" firstDataCol="1"/>
  <pivotFields count="11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numFmtId="4" showAll="0"/>
    <pivotField numFmtId="4" showAll="0"/>
    <pivotField numFmtId="4" showAll="0"/>
    <pivotField numFmtId="4" showAll="0"/>
    <pivotField axis="axisRow" numFmtId="4" showAll="0">
      <items count="13">
        <item x="8"/>
        <item x="11"/>
        <item x="5"/>
        <item x="10"/>
        <item x="7"/>
        <item x="3"/>
        <item x="2"/>
        <item x="4"/>
        <item x="9"/>
        <item x="1"/>
        <item x="6"/>
        <item x="0"/>
        <item t="default"/>
      </items>
    </pivotField>
    <pivotField numFmtId="4" showAll="0"/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</pivotFields>
  <rowFields count="4">
    <field x="2"/>
    <field x="7"/>
    <field x="10"/>
    <field x="9"/>
  </rowFields>
  <rowItems count="51">
    <i>
      <x/>
    </i>
    <i r="1">
      <x/>
    </i>
    <i r="2">
      <x/>
    </i>
    <i r="3">
      <x/>
    </i>
    <i r="1">
      <x v="4"/>
    </i>
    <i r="2">
      <x v="4"/>
    </i>
    <i r="3">
      <x v="4"/>
    </i>
    <i r="1">
      <x v="10"/>
    </i>
    <i r="2">
      <x v="11"/>
    </i>
    <i r="3">
      <x v="11"/>
    </i>
    <i>
      <x v="1"/>
    </i>
    <i r="1">
      <x v="3"/>
    </i>
    <i r="2">
      <x v="3"/>
    </i>
    <i r="3">
      <x v="3"/>
    </i>
    <i r="1">
      <x v="8"/>
    </i>
    <i r="2">
      <x v="8"/>
    </i>
    <i r="3">
      <x v="8"/>
    </i>
    <i>
      <x v="2"/>
    </i>
    <i r="1">
      <x v="2"/>
    </i>
    <i r="2">
      <x v="2"/>
    </i>
    <i r="3">
      <x v="2"/>
    </i>
    <i r="1">
      <x v="7"/>
    </i>
    <i r="2">
      <x v="7"/>
    </i>
    <i r="3">
      <x v="7"/>
    </i>
    <i r="1">
      <x v="11"/>
    </i>
    <i r="2">
      <x v="13"/>
    </i>
    <i r="3">
      <x v="13"/>
    </i>
    <i>
      <x v="3"/>
    </i>
    <i r="1">
      <x v="5"/>
    </i>
    <i r="2">
      <x v="5"/>
    </i>
    <i r="3">
      <x v="5"/>
    </i>
    <i r="1">
      <x v="6"/>
    </i>
    <i r="2">
      <x v="6"/>
    </i>
    <i r="3">
      <x v="6"/>
    </i>
    <i r="1">
      <x v="9"/>
    </i>
    <i r="2">
      <x v="10"/>
    </i>
    <i r="3">
      <x v="10"/>
    </i>
    <i r="1">
      <x v="11"/>
    </i>
    <i r="2">
      <x v="12"/>
    </i>
    <i r="3">
      <x v="12"/>
    </i>
    <i>
      <x v="4"/>
    </i>
    <i r="1">
      <x v="1"/>
    </i>
    <i r="2">
      <x v="1"/>
    </i>
    <i r="3">
      <x v="1"/>
    </i>
    <i r="1">
      <x v="2"/>
    </i>
    <i r="2">
      <x v="2"/>
    </i>
    <i r="3">
      <x v="2"/>
    </i>
    <i r="1">
      <x v="8"/>
    </i>
    <i r="2">
      <x v="9"/>
    </i>
    <i r="3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93"/>
  <sheetViews>
    <sheetView tabSelected="1" workbookViewId="0"/>
  </sheetViews>
  <sheetFormatPr defaultRowHeight="14" x14ac:dyDescent="0.25"/>
  <cols>
    <col min="1" max="1" width="18.81640625" bestFit="1" customWidth="1"/>
  </cols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0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  <row r="3" spans="1:8" x14ac:dyDescent="0.25">
      <c r="A3" s="30" t="s">
        <v>103</v>
      </c>
    </row>
    <row r="4" spans="1:8" x14ac:dyDescent="0.25">
      <c r="A4" s="31" t="s">
        <v>38</v>
      </c>
    </row>
    <row r="5" spans="1:8" x14ac:dyDescent="0.25">
      <c r="A5" s="32">
        <v>10000</v>
      </c>
    </row>
    <row r="6" spans="1:8" x14ac:dyDescent="0.25">
      <c r="A6" s="33">
        <v>9187.9699999999993</v>
      </c>
    </row>
    <row r="7" spans="1:8" x14ac:dyDescent="0.25">
      <c r="A7" s="34">
        <v>129.53</v>
      </c>
    </row>
    <row r="8" spans="1:8" x14ac:dyDescent="0.25">
      <c r="A8" s="32">
        <v>12500</v>
      </c>
    </row>
    <row r="9" spans="1:8" x14ac:dyDescent="0.25">
      <c r="A9" s="33">
        <v>11460.2</v>
      </c>
    </row>
    <row r="10" spans="1:8" x14ac:dyDescent="0.25">
      <c r="A10" s="34">
        <v>199.8</v>
      </c>
    </row>
    <row r="11" spans="1:8" x14ac:dyDescent="0.25">
      <c r="A11" s="32">
        <v>24500</v>
      </c>
    </row>
    <row r="12" spans="1:8" x14ac:dyDescent="0.25">
      <c r="A12" s="33">
        <v>22590.95</v>
      </c>
    </row>
    <row r="13" spans="1:8" x14ac:dyDescent="0.25">
      <c r="A13" s="34">
        <v>544.04999999999995</v>
      </c>
    </row>
    <row r="14" spans="1:8" x14ac:dyDescent="0.25">
      <c r="A14" s="31" t="s">
        <v>48</v>
      </c>
    </row>
    <row r="15" spans="1:8" x14ac:dyDescent="0.25">
      <c r="A15" s="32">
        <v>12000</v>
      </c>
    </row>
    <row r="16" spans="1:8" x14ac:dyDescent="0.25">
      <c r="A16" s="33">
        <v>11026.12</v>
      </c>
    </row>
    <row r="17" spans="1:1" x14ac:dyDescent="0.25">
      <c r="A17" s="34">
        <v>186.38</v>
      </c>
    </row>
    <row r="18" spans="1:1" x14ac:dyDescent="0.25">
      <c r="A18" s="32">
        <v>21500</v>
      </c>
    </row>
    <row r="19" spans="1:1" x14ac:dyDescent="0.25">
      <c r="A19" s="33">
        <v>19782.8</v>
      </c>
    </row>
    <row r="20" spans="1:1" x14ac:dyDescent="0.25">
      <c r="A20" s="34">
        <v>457.2</v>
      </c>
    </row>
    <row r="21" spans="1:1" x14ac:dyDescent="0.25">
      <c r="A21" s="31" t="s">
        <v>28</v>
      </c>
    </row>
    <row r="22" spans="1:1" x14ac:dyDescent="0.25">
      <c r="A22" s="32">
        <v>11500</v>
      </c>
    </row>
    <row r="23" spans="1:1" x14ac:dyDescent="0.25">
      <c r="A23" s="33">
        <v>10592.05</v>
      </c>
    </row>
    <row r="24" spans="1:1" x14ac:dyDescent="0.25">
      <c r="A24" s="34">
        <v>172.95</v>
      </c>
    </row>
    <row r="25" spans="1:1" x14ac:dyDescent="0.25">
      <c r="A25" s="32">
        <v>19500</v>
      </c>
    </row>
    <row r="26" spans="1:1" x14ac:dyDescent="0.25">
      <c r="A26" s="33">
        <v>18046.5</v>
      </c>
    </row>
    <row r="27" spans="1:1" x14ac:dyDescent="0.25">
      <c r="A27" s="34">
        <v>403.5</v>
      </c>
    </row>
    <row r="28" spans="1:1" x14ac:dyDescent="0.25">
      <c r="A28" s="32">
        <v>29500</v>
      </c>
    </row>
    <row r="29" spans="1:1" x14ac:dyDescent="0.25">
      <c r="A29" s="33">
        <v>27339.1</v>
      </c>
    </row>
    <row r="30" spans="1:1" x14ac:dyDescent="0.25">
      <c r="A30" s="34">
        <v>690.9</v>
      </c>
    </row>
    <row r="31" spans="1:1" x14ac:dyDescent="0.25">
      <c r="A31" s="31" t="s">
        <v>11</v>
      </c>
    </row>
    <row r="32" spans="1:1" x14ac:dyDescent="0.25">
      <c r="A32" s="32">
        <v>14500</v>
      </c>
    </row>
    <row r="33" spans="1:1" x14ac:dyDescent="0.25">
      <c r="A33" s="33">
        <v>13298.35</v>
      </c>
    </row>
    <row r="34" spans="1:1" x14ac:dyDescent="0.25">
      <c r="A34" s="34">
        <v>256.64999999999998</v>
      </c>
    </row>
    <row r="35" spans="1:1" x14ac:dyDescent="0.25">
      <c r="A35" s="32">
        <v>16500</v>
      </c>
    </row>
    <row r="36" spans="1:1" x14ac:dyDescent="0.25">
      <c r="A36" s="33">
        <v>15136.5</v>
      </c>
    </row>
    <row r="37" spans="1:1" x14ac:dyDescent="0.25">
      <c r="A37" s="34">
        <v>313.5</v>
      </c>
    </row>
    <row r="38" spans="1:1" x14ac:dyDescent="0.25">
      <c r="A38" s="32">
        <v>22000</v>
      </c>
    </row>
    <row r="39" spans="1:1" x14ac:dyDescent="0.25">
      <c r="A39" s="33">
        <v>20267.8</v>
      </c>
    </row>
    <row r="40" spans="1:1" x14ac:dyDescent="0.25">
      <c r="A40" s="34">
        <v>472.2</v>
      </c>
    </row>
    <row r="41" spans="1:1" x14ac:dyDescent="0.25">
      <c r="A41" s="32">
        <v>29500</v>
      </c>
    </row>
    <row r="42" spans="1:1" x14ac:dyDescent="0.25">
      <c r="A42" s="33">
        <v>27237.25</v>
      </c>
    </row>
    <row r="43" spans="1:1" x14ac:dyDescent="0.25">
      <c r="A43" s="34">
        <v>687.75</v>
      </c>
    </row>
    <row r="44" spans="1:1" x14ac:dyDescent="0.25">
      <c r="A44" s="31" t="s">
        <v>55</v>
      </c>
    </row>
    <row r="45" spans="1:1" x14ac:dyDescent="0.25">
      <c r="A45" s="32">
        <v>11000</v>
      </c>
    </row>
    <row r="46" spans="1:1" x14ac:dyDescent="0.25">
      <c r="A46" s="33">
        <v>10107.049999999999</v>
      </c>
    </row>
    <row r="47" spans="1:1" x14ac:dyDescent="0.25">
      <c r="A47" s="34">
        <v>157.94999999999999</v>
      </c>
    </row>
    <row r="48" spans="1:1" x14ac:dyDescent="0.25">
      <c r="A48" s="32">
        <v>11500</v>
      </c>
    </row>
    <row r="49" spans="1:8" x14ac:dyDescent="0.25">
      <c r="A49" s="33">
        <v>10592.05</v>
      </c>
    </row>
    <row r="50" spans="1:8" x14ac:dyDescent="0.25">
      <c r="A50" s="34">
        <v>172.95</v>
      </c>
    </row>
    <row r="51" spans="1:8" x14ac:dyDescent="0.25">
      <c r="A51" s="32">
        <v>21500</v>
      </c>
    </row>
    <row r="52" spans="1:8" x14ac:dyDescent="0.25">
      <c r="A52" s="33">
        <v>19884.650000000001</v>
      </c>
    </row>
    <row r="53" spans="1:8" x14ac:dyDescent="0.25">
      <c r="A53" s="34">
        <v>460.35</v>
      </c>
    </row>
    <row r="54" spans="1:8" x14ac:dyDescent="0.25">
      <c r="A54" s="31" t="s">
        <v>104</v>
      </c>
    </row>
    <row r="58" spans="1:8" ht="20" customHeight="1" x14ac:dyDescent="0.25">
      <c r="A58" s="29" t="s">
        <v>105</v>
      </c>
      <c r="B58" s="29"/>
      <c r="C58" s="29"/>
      <c r="D58" s="29"/>
      <c r="E58" s="29"/>
      <c r="F58" s="29"/>
      <c r="G58" s="29"/>
      <c r="H58" s="29"/>
    </row>
    <row r="59" spans="1:8" x14ac:dyDescent="0.25">
      <c r="A59" s="30" t="s">
        <v>103</v>
      </c>
    </row>
    <row r="60" spans="1:8" x14ac:dyDescent="0.25">
      <c r="A60" s="31" t="s">
        <v>38</v>
      </c>
    </row>
    <row r="61" spans="1:8" x14ac:dyDescent="0.25">
      <c r="A61" s="32">
        <v>682.5</v>
      </c>
    </row>
    <row r="62" spans="1:8" x14ac:dyDescent="0.25">
      <c r="A62" s="33">
        <v>780</v>
      </c>
    </row>
    <row r="63" spans="1:8" x14ac:dyDescent="0.25">
      <c r="A63" s="32">
        <v>840</v>
      </c>
    </row>
    <row r="64" spans="1:8" x14ac:dyDescent="0.25">
      <c r="A64" s="33">
        <v>960</v>
      </c>
    </row>
    <row r="65" spans="1:1" x14ac:dyDescent="0.25">
      <c r="A65" s="32">
        <v>1365</v>
      </c>
    </row>
    <row r="66" spans="1:1" x14ac:dyDescent="0.25">
      <c r="A66" s="33">
        <v>1560</v>
      </c>
    </row>
    <row r="67" spans="1:1" x14ac:dyDescent="0.25">
      <c r="A67" s="31" t="s">
        <v>48</v>
      </c>
    </row>
    <row r="68" spans="1:1" x14ac:dyDescent="0.25">
      <c r="A68" s="32">
        <v>787.5</v>
      </c>
    </row>
    <row r="69" spans="1:1" x14ac:dyDescent="0.25">
      <c r="A69" s="33">
        <v>900</v>
      </c>
    </row>
    <row r="70" spans="1:1" x14ac:dyDescent="0.25">
      <c r="A70" s="32">
        <v>1260</v>
      </c>
    </row>
    <row r="71" spans="1:1" x14ac:dyDescent="0.25">
      <c r="A71" s="33">
        <v>1440</v>
      </c>
    </row>
    <row r="72" spans="1:1" x14ac:dyDescent="0.25">
      <c r="A72" s="31" t="s">
        <v>28</v>
      </c>
    </row>
    <row r="73" spans="1:1" x14ac:dyDescent="0.25">
      <c r="A73" s="32">
        <v>735</v>
      </c>
    </row>
    <row r="74" spans="1:1" x14ac:dyDescent="0.25">
      <c r="A74" s="33">
        <v>840</v>
      </c>
    </row>
    <row r="75" spans="1:1" x14ac:dyDescent="0.25">
      <c r="A75" s="32">
        <v>1050</v>
      </c>
    </row>
    <row r="76" spans="1:1" x14ac:dyDescent="0.25">
      <c r="A76" s="33">
        <v>1200</v>
      </c>
    </row>
    <row r="77" spans="1:1" x14ac:dyDescent="0.25">
      <c r="A77" s="32">
        <v>1470</v>
      </c>
    </row>
    <row r="78" spans="1:1" x14ac:dyDescent="0.25">
      <c r="A78" s="33">
        <v>1680</v>
      </c>
    </row>
    <row r="79" spans="1:1" x14ac:dyDescent="0.25">
      <c r="A79" s="31" t="s">
        <v>11</v>
      </c>
    </row>
    <row r="80" spans="1:1" x14ac:dyDescent="0.25">
      <c r="A80" s="32">
        <v>945</v>
      </c>
    </row>
    <row r="81" spans="1:1" x14ac:dyDescent="0.25">
      <c r="A81" s="33">
        <v>1080</v>
      </c>
    </row>
    <row r="82" spans="1:1" x14ac:dyDescent="0.25">
      <c r="A82" s="32">
        <v>1050</v>
      </c>
    </row>
    <row r="83" spans="1:1" x14ac:dyDescent="0.25">
      <c r="A83" s="33">
        <v>1200</v>
      </c>
    </row>
    <row r="84" spans="1:1" x14ac:dyDescent="0.25">
      <c r="A84" s="32">
        <v>1260</v>
      </c>
    </row>
    <row r="85" spans="1:1" x14ac:dyDescent="0.25">
      <c r="A85" s="33">
        <v>1440</v>
      </c>
    </row>
    <row r="86" spans="1:1" x14ac:dyDescent="0.25">
      <c r="A86" s="32">
        <v>1575</v>
      </c>
    </row>
    <row r="87" spans="1:1" x14ac:dyDescent="0.25">
      <c r="A87" s="33">
        <v>1800</v>
      </c>
    </row>
    <row r="88" spans="1:1" x14ac:dyDescent="0.25">
      <c r="A88" s="31" t="s">
        <v>55</v>
      </c>
    </row>
    <row r="89" spans="1:1" x14ac:dyDescent="0.25">
      <c r="A89" s="32">
        <v>735</v>
      </c>
    </row>
    <row r="90" spans="1:1" x14ac:dyDescent="0.25">
      <c r="A90" s="33">
        <v>840</v>
      </c>
    </row>
    <row r="91" spans="1:1" x14ac:dyDescent="0.25">
      <c r="A91" s="32">
        <v>1155</v>
      </c>
    </row>
    <row r="92" spans="1:1" x14ac:dyDescent="0.25">
      <c r="A92" s="33">
        <v>1320</v>
      </c>
    </row>
    <row r="93" spans="1:1" x14ac:dyDescent="0.25">
      <c r="A93" s="31" t="s">
        <v>104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2026-05-06T04:07:34Z</dcterms:modified>
</cp:coreProperties>
</file>