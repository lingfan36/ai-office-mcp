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DD3C375F-6DA5-4AA2-9705-39A985C890FD}" xr6:coauthVersionLast="47" xr6:coauthVersionMax="47" xr10:uidLastSave="{00000000-0000-0000-0000-000000000000}"/>
  <bookViews>
    <workbookView xWindow="1440" yWindow="144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1" i="3" l="1"/>
  <c r="E11" i="3" s="1"/>
  <c r="F11" i="3"/>
  <c r="B12" i="3" s="1"/>
  <c r="D12" i="3" l="1"/>
  <c r="E12" i="3" s="1"/>
  <c r="F12" i="3" s="1"/>
  <c r="B13" i="3" s="1"/>
  <c r="D13" i="3" l="1"/>
  <c r="E13" i="3" s="1"/>
  <c r="F13" i="3" s="1"/>
  <c r="B14" i="3" s="1"/>
  <c r="D14" i="3" l="1"/>
  <c r="E14" i="3" s="1"/>
  <c r="F14" i="3" s="1"/>
  <c r="B15" i="3" s="1"/>
  <c r="F15" i="3" l="1"/>
  <c r="B16" i="3" s="1"/>
  <c r="D15" i="3"/>
  <c r="E15" i="3" s="1"/>
  <c r="D16" i="3" l="1"/>
  <c r="E16" i="3" s="1"/>
  <c r="F16" i="3" s="1"/>
  <c r="B17" i="3" s="1"/>
  <c r="F17" i="3" l="1"/>
  <c r="B18" i="3" s="1"/>
  <c r="D17" i="3"/>
  <c r="E17" i="3" s="1"/>
  <c r="F18" i="3" l="1"/>
  <c r="B19" i="3" s="1"/>
  <c r="D18" i="3"/>
  <c r="E18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<sst xmlns="http://schemas.openxmlformats.org/spreadsheetml/2006/main" count="129" uniqueCount="99">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</sst>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14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D81D5-7FF9-4170-9944-1E2A91C07FA1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7EC0F-ADE8-4E88-A6B4-5C27CAD650A5}">
  <dimension ref="A1:G17"/>
  <sheetViews>
    <sheetView workbookViewId="0"/>
  </sheetViews>
  <sheetFormatPr defaultRowHeight="14" x14ac:dyDescent="0.25"/>
  <sheetData>
    <row r="1" spans="1:7" x14ac:dyDescent="0.25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</row>
    <row r="2" spans="1:7" x14ac:dyDescent="0.25">
      <c r="A2" s="33">
        <v>45662</v>
      </c>
      <c r="B2">
        <v>1001</v>
      </c>
      <c r="C2" t="s">
        <v>77</v>
      </c>
      <c r="D2" t="s">
        <v>1</v>
      </c>
      <c r="E2">
        <v>50000</v>
      </c>
      <c r="F2">
        <v>0</v>
      </c>
      <c r="G2" t="s">
        <v>78</v>
      </c>
    </row>
    <row r="3" spans="1:7" x14ac:dyDescent="0.25">
      <c r="A3" s="33">
        <v>45662</v>
      </c>
      <c r="B3">
        <v>4001</v>
      </c>
      <c r="C3" t="s">
        <v>79</v>
      </c>
      <c r="D3" t="s">
        <v>80</v>
      </c>
      <c r="E3">
        <v>0</v>
      </c>
      <c r="F3">
        <v>50000</v>
      </c>
      <c r="G3" t="s">
        <v>78</v>
      </c>
    </row>
    <row r="4" spans="1:7" x14ac:dyDescent="0.25">
      <c r="A4" s="33">
        <v>45667</v>
      </c>
      <c r="B4">
        <v>1002</v>
      </c>
      <c r="C4" t="s">
        <v>81</v>
      </c>
      <c r="D4" t="s">
        <v>1</v>
      </c>
      <c r="E4">
        <v>200000</v>
      </c>
      <c r="F4">
        <v>0</v>
      </c>
      <c r="G4" t="s">
        <v>82</v>
      </c>
    </row>
    <row r="5" spans="1:7" x14ac:dyDescent="0.25">
      <c r="A5" s="33">
        <v>45667</v>
      </c>
      <c r="B5">
        <v>2001</v>
      </c>
      <c r="C5" t="s">
        <v>83</v>
      </c>
      <c r="D5" t="s">
        <v>84</v>
      </c>
      <c r="E5">
        <v>0</v>
      </c>
      <c r="F5">
        <v>200000</v>
      </c>
      <c r="G5" t="s">
        <v>82</v>
      </c>
    </row>
    <row r="6" spans="1:7" x14ac:dyDescent="0.25">
      <c r="A6" s="33">
        <v>45672</v>
      </c>
      <c r="B6">
        <v>5001</v>
      </c>
      <c r="C6" t="s">
        <v>85</v>
      </c>
      <c r="D6" t="s">
        <v>86</v>
      </c>
      <c r="E6">
        <v>0</v>
      </c>
      <c r="F6">
        <v>85000</v>
      </c>
      <c r="G6" t="s">
        <v>87</v>
      </c>
    </row>
    <row r="7" spans="1:7" x14ac:dyDescent="0.25">
      <c r="A7" s="33">
        <v>45672</v>
      </c>
      <c r="B7">
        <v>1122</v>
      </c>
      <c r="C7" t="s">
        <v>88</v>
      </c>
      <c r="D7" t="s">
        <v>1</v>
      </c>
      <c r="E7">
        <v>85000</v>
      </c>
      <c r="F7">
        <v>0</v>
      </c>
      <c r="G7" t="s">
        <v>87</v>
      </c>
    </row>
    <row r="8" spans="1:7" x14ac:dyDescent="0.25">
      <c r="A8" s="33">
        <v>45677</v>
      </c>
      <c r="B8">
        <v>5401</v>
      </c>
      <c r="C8" t="s">
        <v>89</v>
      </c>
      <c r="D8" t="s">
        <v>90</v>
      </c>
      <c r="E8">
        <v>12000</v>
      </c>
      <c r="F8">
        <v>0</v>
      </c>
      <c r="G8" t="s">
        <v>91</v>
      </c>
    </row>
    <row r="9" spans="1:7" x14ac:dyDescent="0.25">
      <c r="A9" s="33">
        <v>45677</v>
      </c>
      <c r="B9">
        <v>1002</v>
      </c>
      <c r="C9" t="s">
        <v>81</v>
      </c>
      <c r="D9" t="s">
        <v>1</v>
      </c>
      <c r="E9">
        <v>0</v>
      </c>
      <c r="F9">
        <v>12000</v>
      </c>
      <c r="G9" t="s">
        <v>91</v>
      </c>
    </row>
    <row r="10" spans="1:7" x14ac:dyDescent="0.25">
      <c r="A10" s="33">
        <v>45691</v>
      </c>
      <c r="B10">
        <v>1401</v>
      </c>
      <c r="C10" t="s">
        <v>92</v>
      </c>
      <c r="D10" t="s">
        <v>1</v>
      </c>
      <c r="E10">
        <v>36000</v>
      </c>
      <c r="F10">
        <v>0</v>
      </c>
      <c r="G10" t="s">
        <v>93</v>
      </c>
    </row>
    <row r="11" spans="1:7" x14ac:dyDescent="0.25">
      <c r="A11" s="33">
        <v>45691</v>
      </c>
      <c r="B11">
        <v>2202</v>
      </c>
      <c r="C11" t="s">
        <v>94</v>
      </c>
      <c r="D11" t="s">
        <v>84</v>
      </c>
      <c r="E11">
        <v>0</v>
      </c>
      <c r="F11">
        <v>36000</v>
      </c>
      <c r="G11" t="s">
        <v>93</v>
      </c>
    </row>
    <row r="12" spans="1:7" x14ac:dyDescent="0.25">
      <c r="A12" s="33">
        <v>45698</v>
      </c>
      <c r="B12">
        <v>5101</v>
      </c>
      <c r="C12" t="s">
        <v>95</v>
      </c>
      <c r="D12" t="s">
        <v>90</v>
      </c>
      <c r="E12">
        <v>8500</v>
      </c>
      <c r="F12">
        <v>0</v>
      </c>
      <c r="G12" t="s">
        <v>96</v>
      </c>
    </row>
    <row r="13" spans="1:7" x14ac:dyDescent="0.25">
      <c r="A13" s="33">
        <v>45698</v>
      </c>
      <c r="B13">
        <v>1002</v>
      </c>
      <c r="C13" t="s">
        <v>81</v>
      </c>
      <c r="D13" t="s">
        <v>1</v>
      </c>
      <c r="E13">
        <v>0</v>
      </c>
      <c r="F13">
        <v>8500</v>
      </c>
      <c r="G13" t="s">
        <v>96</v>
      </c>
    </row>
    <row r="14" spans="1:7" x14ac:dyDescent="0.25">
      <c r="A14" s="33">
        <v>45706</v>
      </c>
      <c r="B14">
        <v>5001</v>
      </c>
      <c r="C14" t="s">
        <v>85</v>
      </c>
      <c r="D14" t="s">
        <v>86</v>
      </c>
      <c r="E14">
        <v>0</v>
      </c>
      <c r="F14">
        <v>120000</v>
      </c>
      <c r="G14" t="s">
        <v>97</v>
      </c>
    </row>
    <row r="15" spans="1:7" x14ac:dyDescent="0.25">
      <c r="A15" s="33">
        <v>45706</v>
      </c>
      <c r="B15">
        <v>1122</v>
      </c>
      <c r="C15" t="s">
        <v>88</v>
      </c>
      <c r="D15" t="s">
        <v>1</v>
      </c>
      <c r="E15">
        <v>120000</v>
      </c>
      <c r="F15">
        <v>0</v>
      </c>
      <c r="G15" t="s">
        <v>97</v>
      </c>
    </row>
    <row r="16" spans="1:7" x14ac:dyDescent="0.25">
      <c r="A16" s="33">
        <v>45717</v>
      </c>
      <c r="B16">
        <v>1002</v>
      </c>
      <c r="C16" t="s">
        <v>81</v>
      </c>
      <c r="D16" t="s">
        <v>1</v>
      </c>
      <c r="E16">
        <v>85000</v>
      </c>
      <c r="F16">
        <v>0</v>
      </c>
      <c r="G16" t="s">
        <v>98</v>
      </c>
    </row>
    <row r="17" spans="1:7" x14ac:dyDescent="0.25">
      <c r="A17" s="33">
        <v>45717</v>
      </c>
      <c r="B17">
        <v>1122</v>
      </c>
      <c r="C17" t="s">
        <v>88</v>
      </c>
      <c r="D17" t="s">
        <v>1</v>
      </c>
      <c r="E17">
        <v>0</v>
      </c>
      <c r="F17">
        <v>85000</v>
      </c>
      <c r="G17" t="s">
        <v>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7A71C-D428-4D3C-9214-3A06396036BC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7" t="s">
        <v>63</v>
      </c>
      <c r="I1" s="27"/>
      <c r="J1" s="27"/>
      <c r="K1" s="27"/>
      <c r="L1" s="27"/>
      <c r="M1" s="27"/>
      <c r="N1" s="27"/>
    </row>
    <row r="3" spans="1:14" x14ac:dyDescent="0.25">
      <c r="A3" t="s">
        <v>55</v>
      </c>
      <c r="B3" s="22">
        <v>1000000</v>
      </c>
      <c r="H3" t="s">
        <v>64</v>
      </c>
      <c r="I3" s="18">
        <v>0.1</v>
      </c>
    </row>
    <row r="4" spans="1:14" x14ac:dyDescent="0.25">
      <c r="A4" t="s">
        <v>56</v>
      </c>
      <c r="B4" s="22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2">
        <v>60</v>
      </c>
      <c r="H5" s="1" t="s">
        <v>66</v>
      </c>
      <c r="I5" s="1" t="s">
        <v>67</v>
      </c>
    </row>
    <row r="6" spans="1:14" x14ac:dyDescent="0.25">
      <c r="A6" s="23" t="s">
        <v>58</v>
      </c>
      <c r="B6" s="24">
        <f>PMT(B4/12,B5,-B3)</f>
        <v>18643.019241516649</v>
      </c>
      <c r="H6">
        <v>1</v>
      </c>
      <c r="I6" s="28">
        <v>80000</v>
      </c>
    </row>
    <row r="7" spans="1:14" x14ac:dyDescent="0.25">
      <c r="H7">
        <v>2</v>
      </c>
      <c r="I7" s="28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8">
        <v>150000</v>
      </c>
    </row>
    <row r="9" spans="1:14" x14ac:dyDescent="0.25">
      <c r="A9" s="25">
        <v>1</v>
      </c>
      <c r="B9" s="26">
        <f>$B$3</f>
        <v>1000000</v>
      </c>
      <c r="C9" s="26">
        <f>$B$6</f>
        <v>18643.019241516649</v>
      </c>
      <c r="D9" s="26">
        <f>B9*$B$4/12</f>
        <v>3750</v>
      </c>
      <c r="E9" s="26">
        <f>C9-D9</f>
        <v>14893.019241516649</v>
      </c>
      <c r="F9" s="26">
        <f>B9-E9</f>
        <v>985106.98075848341</v>
      </c>
      <c r="H9">
        <v>4</v>
      </c>
      <c r="I9" s="28">
        <v>200000</v>
      </c>
    </row>
    <row r="10" spans="1:14" x14ac:dyDescent="0.25">
      <c r="A10" s="25">
        <v>2</v>
      </c>
      <c r="B10" s="26">
        <f>F9</f>
        <v>985106.98075848341</v>
      </c>
      <c r="C10" s="26">
        <f>$B$6</f>
        <v>18643.019241516649</v>
      </c>
      <c r="D10" s="26">
        <f>B10*$B$4/12</f>
        <v>3694.1511778443128</v>
      </c>
      <c r="E10" s="26">
        <f>C10-D10</f>
        <v>14948.868063672337</v>
      </c>
      <c r="F10" s="26">
        <f>B10-E10</f>
        <v>970158.11269481108</v>
      </c>
      <c r="H10">
        <v>5</v>
      </c>
      <c r="I10" s="28">
        <v>280000</v>
      </c>
    </row>
    <row r="11" spans="1:14" x14ac:dyDescent="0.25">
      <c r="A11" s="25">
        <v>3</v>
      </c>
      <c r="B11" s="26">
        <f>F10</f>
        <v>970158.11269481108</v>
      </c>
      <c r="C11" s="26">
        <f>$B$6</f>
        <v>18643.019241516649</v>
      </c>
      <c r="D11" s="26">
        <f>B11*$B$4/12</f>
        <v>3638.0929226055414</v>
      </c>
      <c r="E11" s="26">
        <f>C11-D11</f>
        <v>15004.926318911108</v>
      </c>
      <c r="F11" s="26">
        <f>B11-E11</f>
        <v>955153.18637589994</v>
      </c>
    </row>
    <row r="12" spans="1:14" x14ac:dyDescent="0.25">
      <c r="A12" s="25">
        <v>4</v>
      </c>
      <c r="B12" s="26">
        <f>F11</f>
        <v>955153.18637589994</v>
      </c>
      <c r="C12" s="26">
        <f>$B$6</f>
        <v>18643.019241516649</v>
      </c>
      <c r="D12" s="26">
        <f>B12*$B$4/12</f>
        <v>3581.8244489096246</v>
      </c>
      <c r="E12" s="26">
        <f>C12-D12</f>
        <v>15061.194792607024</v>
      </c>
      <c r="F12" s="26">
        <f>B12-E12</f>
        <v>940091.99158329295</v>
      </c>
      <c r="H12" s="29" t="s">
        <v>68</v>
      </c>
      <c r="I12" s="31">
        <f>NPV(I3,I6:I10)+I4</f>
        <v>86794.245301177725</v>
      </c>
    </row>
    <row r="13" spans="1:14" x14ac:dyDescent="0.25">
      <c r="A13" s="25">
        <v>5</v>
      </c>
      <c r="B13" s="26">
        <f>F12</f>
        <v>940091.99158329295</v>
      </c>
      <c r="C13" s="26">
        <f>$B$6</f>
        <v>18643.019241516649</v>
      </c>
      <c r="D13" s="26">
        <f>B13*$B$4/12</f>
        <v>3525.3449684373486</v>
      </c>
      <c r="E13" s="26">
        <f>C13-D13</f>
        <v>15117.674273079301</v>
      </c>
      <c r="F13" s="26">
        <f>B13-E13</f>
        <v>924974.31731021369</v>
      </c>
      <c r="H13" s="30" t="s">
        <v>69</v>
      </c>
      <c r="I13" s="32">
        <f>IRR(I4:I10)</f>
        <v>0.15338761042527493</v>
      </c>
    </row>
    <row r="14" spans="1:14" x14ac:dyDescent="0.25">
      <c r="A14" s="25">
        <v>6</v>
      </c>
      <c r="B14" s="26">
        <f>F13</f>
        <v>924974.31731021369</v>
      </c>
      <c r="C14" s="26">
        <f>$B$6</f>
        <v>18643.019241516649</v>
      </c>
      <c r="D14" s="26">
        <f>B14*$B$4/12</f>
        <v>3468.6536899133012</v>
      </c>
      <c r="E14" s="26">
        <f>C14-D14</f>
        <v>15174.365551603349</v>
      </c>
      <c r="F14" s="26">
        <f>B14-E14</f>
        <v>909799.95175861032</v>
      </c>
    </row>
    <row r="15" spans="1:14" x14ac:dyDescent="0.25">
      <c r="A15" s="25">
        <v>7</v>
      </c>
      <c r="B15" s="26">
        <f>F14</f>
        <v>909799.95175861032</v>
      </c>
      <c r="C15" s="26">
        <f>$B$6</f>
        <v>18643.019241516649</v>
      </c>
      <c r="D15" s="26">
        <f>B15*$B$4/12</f>
        <v>3411.7498190947886</v>
      </c>
      <c r="E15" s="26">
        <f>C15-D15</f>
        <v>15231.269422421861</v>
      </c>
      <c r="F15" s="26">
        <f>B15-E15</f>
        <v>894568.6823361885</v>
      </c>
    </row>
    <row r="16" spans="1:14" x14ac:dyDescent="0.25">
      <c r="A16" s="25">
        <v>8</v>
      </c>
      <c r="B16" s="26">
        <f>F15</f>
        <v>894568.6823361885</v>
      </c>
      <c r="C16" s="26">
        <f>$B$6</f>
        <v>18643.019241516649</v>
      </c>
      <c r="D16" s="26">
        <f>B16*$B$4/12</f>
        <v>3354.6325587607066</v>
      </c>
      <c r="E16" s="26">
        <f>C16-D16</f>
        <v>15288.386682755943</v>
      </c>
      <c r="F16" s="26">
        <f>B16-E16</f>
        <v>879280.29565343261</v>
      </c>
    </row>
    <row r="17" spans="1:6" x14ac:dyDescent="0.25">
      <c r="A17" s="25">
        <v>9</v>
      </c>
      <c r="B17" s="26">
        <f>F16</f>
        <v>879280.29565343261</v>
      </c>
      <c r="C17" s="26">
        <f>$B$6</f>
        <v>18643.019241516649</v>
      </c>
      <c r="D17" s="26">
        <f>B17*$B$4/12</f>
        <v>3297.3011087003724</v>
      </c>
      <c r="E17" s="26">
        <f>C17-D17</f>
        <v>15345.718132816277</v>
      </c>
      <c r="F17" s="26">
        <f>B17-E17</f>
        <v>863934.57752061635</v>
      </c>
    </row>
    <row r="18" spans="1:6" x14ac:dyDescent="0.25">
      <c r="A18" s="25">
        <v>10</v>
      </c>
      <c r="B18" s="26">
        <f>F17</f>
        <v>863934.57752061635</v>
      </c>
      <c r="C18" s="26">
        <f>$B$6</f>
        <v>18643.019241516649</v>
      </c>
      <c r="D18" s="26">
        <f>B18*$B$4/12</f>
        <v>3239.7546657023108</v>
      </c>
      <c r="E18" s="26">
        <f>C18-D18</f>
        <v>15403.264575814339</v>
      </c>
      <c r="F18" s="26">
        <f>B18-E18</f>
        <v>848531.31294480199</v>
      </c>
    </row>
    <row r="19" spans="1:6" x14ac:dyDescent="0.25">
      <c r="A19" s="25">
        <v>11</v>
      </c>
      <c r="B19" s="26">
        <f>F18</f>
        <v>848531.31294480199</v>
      </c>
      <c r="C19" s="26">
        <f>$B$6</f>
        <v>18643.019241516649</v>
      </c>
      <c r="D19" s="26">
        <f>B19*$B$4/12</f>
        <v>3181.9924235430076</v>
      </c>
      <c r="E19" s="26">
        <f>C19-D19</f>
        <v>15461.026817973641</v>
      </c>
      <c r="F19" s="26">
        <f>B19-E19</f>
        <v>833070.2861268284</v>
      </c>
    </row>
    <row r="20" spans="1:6" x14ac:dyDescent="0.25">
      <c r="A20" s="25">
        <v>12</v>
      </c>
      <c r="B20" s="26">
        <f>F19</f>
        <v>833070.2861268284</v>
      </c>
      <c r="C20" s="26">
        <f>$B$6</f>
        <v>18643.019241516649</v>
      </c>
      <c r="D20" s="26">
        <f>B20*$B$4/12</f>
        <v>3124.0135729756062</v>
      </c>
      <c r="E20" s="26">
        <f>C20-D20</f>
        <v>15519.005668541044</v>
      </c>
      <c r="F20" s="26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74128-F608-4DC8-BE98-BFF9903F0D60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{51A7C491-2A92-4D61-AC7D-052706B2B5EA}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A7C491-2A92-4D61-AC7D-052706B2B5EA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2026-05-05T08:31:57Z</dcterms:created>
  <dcterms:modified xsi:type="dcterms:W3CDTF">2026-05-05T08:32:05Z</dcterms:modified>
</cp:coreProperties>
</file>