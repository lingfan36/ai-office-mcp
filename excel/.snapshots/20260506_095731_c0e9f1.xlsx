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E0BD576-F47D-4834-B792-29F485E78870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H4" i="2"/>
  <c r="K3" i="2"/>
  <c r="K8" i="2" s="1"/>
  <c r="J3" i="2"/>
  <c r="H3" i="2"/>
  <c r="H2" i="2"/>
  <c r="L4" i="2" l="1"/>
  <c r="D10" i="3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<sst xmlns="http://schemas.openxmlformats.org/spreadsheetml/2006/main" count="201" uniqueCount="140">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</sst>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45">
        <v>45717</v>
      </c>
      <c r="B16" s="29">
        <v>1122</v>
      </c>
      <c r="C16" s="29" t="s">
        <v>6</v>
      </c>
      <c r="D16" s="29" t="s">
        <v>4</v>
      </c>
      <c r="E16" s="46">
        <v>0</v>
      </c>
      <c r="F16" s="46">
        <v>85000</v>
      </c>
      <c r="G16" s="29" t="s">
        <v>31</v>
      </c>
      <c r="H16" s="33" t="str">
        <f>IF(VLOOKUP(B16,辅助表!$A:$C,2,0)=C16,"OK","科目名不符")</f>
        <v>OK</v>
      </c>
    </row>
    <row r="17" spans="1:8" x14ac:dyDescent="0.25">
      <c r="A17" s="45" t="s">
        <v>32</v>
      </c>
      <c r="B17" s="29" t="s">
        <v>0</v>
      </c>
      <c r="C17" s="29" t="s">
        <v>1</v>
      </c>
      <c r="D17" s="29" t="s">
        <v>2</v>
      </c>
      <c r="E17" s="46" t="s">
        <v>33</v>
      </c>
      <c r="F17" s="46" t="s">
        <v>34</v>
      </c>
      <c r="G17" s="29" t="s">
        <v>35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