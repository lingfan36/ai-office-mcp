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E56E2A39-3B53-4C0D-A8DB-EB67D56D128D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Sheet4" sheetId="10" r:id="rId1"/>
    <sheet name="Sheet3" sheetId="9" r:id="rId2"/>
    <sheet name="Sheet2" sheetId="8" r:id="rId3"/>
    <sheet name="Sheet1" sheetId="7" r:id="rId4"/>
    <sheet name="辅助表" sheetId="1" r:id="rId5"/>
    <sheet name="明细账" sheetId="2" r:id="rId6"/>
    <sheet name="DCF模型" sheetId="3" r:id="rId7"/>
    <sheet name="损益表" sheetId="4" r:id="rId8"/>
    <sheet name="资产负债表" sheetId="5" r:id="rId9"/>
    <sheet name="上期比较" sheetId="6" r:id="rId10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E9" i="3" s="1"/>
  <c r="F9" i="3" s="1"/>
  <c r="B10" i="3" s="1"/>
  <c r="D9" i="3"/>
  <c r="C10" i="3"/>
  <c r="C11" i="3"/>
  <c r="C12" i="3"/>
  <c r="C13" i="3"/>
  <c r="C14" i="3"/>
  <c r="C15" i="3"/>
  <c r="C16" i="3"/>
  <c r="C17" i="3"/>
  <c r="C18" i="3"/>
  <c r="C19" i="3"/>
  <c r="C20" i="3"/>
  <c r="B6" i="3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C14" i="4"/>
  <c r="B14" i="4"/>
  <c r="F13" i="4"/>
  <c r="C13" i="4"/>
  <c r="B13" i="4"/>
  <c r="F12" i="4"/>
  <c r="C12" i="4"/>
  <c r="B12" i="4"/>
  <c r="F11" i="4"/>
  <c r="C11" i="4"/>
  <c r="B11" i="4"/>
  <c r="F9" i="4"/>
  <c r="C9" i="4"/>
  <c r="B9" i="4"/>
  <c r="F5" i="4"/>
  <c r="C5" i="4"/>
  <c r="B5" i="4"/>
  <c r="F4" i="4"/>
  <c r="C4" i="4"/>
  <c r="B4" i="4"/>
  <c r="A23" i="5"/>
  <c r="F21" i="5"/>
  <c r="E21" i="5"/>
  <c r="F20" i="5"/>
  <c r="E20" i="5"/>
  <c r="F14" i="5"/>
  <c r="E14" i="5"/>
  <c r="F9" i="5"/>
  <c r="E9" i="5"/>
  <c r="C21" i="5"/>
  <c r="B21" i="5"/>
  <c r="C14" i="5"/>
  <c r="B14" i="5"/>
  <c r="C9" i="5"/>
  <c r="B9" i="5"/>
  <c r="A23" i="6"/>
  <c r="F20" i="6"/>
  <c r="E20" i="6"/>
  <c r="F14" i="6"/>
  <c r="E14" i="6"/>
  <c r="C14" i="6"/>
  <c r="C21" i="6" s="1"/>
  <c r="B14" i="6"/>
  <c r="B21" i="6" s="1"/>
  <c r="F9" i="6"/>
  <c r="E9" i="6"/>
  <c r="C9" i="6"/>
  <c r="B9" i="6"/>
  <c r="H17" i="2"/>
  <c r="H16" i="2"/>
  <c r="H15" i="2"/>
  <c r="H14" i="2"/>
  <c r="H13" i="2"/>
  <c r="H12" i="2"/>
  <c r="H11" i="2"/>
  <c r="H10" i="2"/>
  <c r="H9" i="2"/>
  <c r="H8" i="2"/>
  <c r="K7" i="2"/>
  <c r="J7" i="2"/>
  <c r="L7" i="2" s="1"/>
  <c r="H7" i="2"/>
  <c r="K6" i="2"/>
  <c r="J6" i="2"/>
  <c r="L6" i="2" s="1"/>
  <c r="H6" i="2"/>
  <c r="K5" i="2"/>
  <c r="J5" i="2"/>
  <c r="H5" i="2"/>
  <c r="K4" i="2"/>
  <c r="J4" i="2"/>
  <c r="H4" i="2"/>
  <c r="K3" i="2"/>
  <c r="K8" i="2" s="1"/>
  <c r="J3" i="2"/>
  <c r="H3" i="2"/>
  <c r="H2" i="2"/>
  <c r="L4" i="2" l="1"/>
  <c r="D10" i="3"/>
  <c r="E10" i="3" s="1"/>
  <c r="F10" i="3"/>
  <c r="B11" i="3" s="1"/>
  <c r="F21" i="6"/>
  <c r="E21" i="6"/>
  <c r="L5" i="2"/>
  <c r="L3" i="2"/>
  <c r="L8" i="2" s="1"/>
  <c r="J8" i="2"/>
  <c r="D11" i="3" l="1"/>
  <c r="E11" i="3" s="1"/>
  <c r="F11" i="3" s="1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F18" i="3" l="1"/>
  <c r="B19" i="3" s="1"/>
  <c r="D18" i="3"/>
  <c r="E18" i="3" s="1"/>
  <c r="F19" i="3" l="1"/>
  <c r="B20" i="3" s="1"/>
  <c r="D19" i="3"/>
  <c r="E19" i="3" s="1"/>
  <c r="D20" i="3" l="1"/>
  <c r="E20" i="3" s="1"/>
  <c r="F20" i="3" s="1"/>
</calcChain>
</file>

<file path=xl/sharedStrings.xml><?xml version="1.0" encoding="utf-8"?>
<sst xmlns="http://schemas.openxmlformats.org/spreadsheetml/2006/main" count="201" uniqueCount="141">
  <si>
    <t>科目代码</t>
  </si>
  <si>
    <t>科目名称</t>
  </si>
  <si>
    <t>科目类型</t>
  </si>
  <si>
    <t>库存现金</t>
  </si>
  <si>
    <t>资产</t>
  </si>
  <si>
    <t>银行存款</t>
  </si>
  <si>
    <t>应收账款</t>
  </si>
  <si>
    <t>原材料</t>
  </si>
  <si>
    <t>短期借款</t>
  </si>
  <si>
    <t>负债</t>
  </si>
  <si>
    <t>应付账款</t>
  </si>
  <si>
    <t>实收资本</t>
  </si>
  <si>
    <t>权益</t>
  </si>
  <si>
    <t>主营业务收入</t>
  </si>
  <si>
    <t>收入</t>
  </si>
  <si>
    <t>管理费用</t>
  </si>
  <si>
    <t>费用</t>
  </si>
  <si>
    <t>销售费用</t>
  </si>
  <si>
    <t>收到股东投资</t>
  </si>
  <si>
    <t>VLOOKUP校验</t>
  </si>
  <si>
    <t>银行贷款到账</t>
  </si>
  <si>
    <t>销售产品A</t>
  </si>
  <si>
    <t>支付销售佣金</t>
  </si>
  <si>
    <t>合计</t>
  </si>
  <si>
    <t>采购原材料</t>
  </si>
  <si>
    <t>支付办公费</t>
  </si>
  <si>
    <t>销售产品B</t>
  </si>
  <si>
    <t>收回应收账款</t>
  </si>
  <si>
    <t>凭证日期</t>
  </si>
  <si>
    <t>借方金额</t>
  </si>
  <si>
    <t>贷方金额</t>
  </si>
  <si>
    <t>说明</t>
  </si>
  <si>
    <t>期初余额</t>
  </si>
  <si>
    <t>期末余额</t>
  </si>
  <si>
    <t>XX 科技有限公司  资产负债表  2025-12-31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</si>
  <si>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</si>
  <si>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</si>
  <si>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</si>
  <si>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</si>
  <si>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</si>
  <si>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</si>
  <si>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</si>
  <si>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</si>
  <si>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</si>
  <si>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</si>
  <si>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</si>
  <si>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</si>
  <si>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</si>
  <si>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</si>
  <si>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</si>
  <si>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</si>
  <si>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</si>
  <si>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</si>
  <si>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</si>
  <si>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</si>
  <si>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</si>
  <si>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</si>
  <si>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</si>
  <si>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</si>
  <si>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</si>
  <si>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</si>
  <si>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</si>
  <si>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</si>
  <si>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</si>
  <si>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</si>
  <si>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</si>
  <si>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XX 科技有限公司  资产负债表  2025-12-31</t>
    <phoneticPr fontId="1" type="noConversion"/>
  </si>
  <si>
    <t>资产</t>
    <phoneticPr fontId="1" type="noConversion"/>
  </si>
  <si>
    <t>期末余额</t>
    <phoneticPr fontId="1" type="noConversion"/>
  </si>
  <si>
    <t>期初余额</t>
    <phoneticPr fontId="1" type="noConversion"/>
  </si>
  <si>
    <t>负债及所有者权益</t>
    <phoneticPr fontId="1" type="noConversion"/>
  </si>
  <si>
    <t>流动资产：</t>
    <phoneticPr fontId="1" type="noConversion"/>
  </si>
  <si>
    <t>流动负债：</t>
    <phoneticPr fontId="1" type="noConversion"/>
  </si>
  <si>
    <t xml:space="preserve">  货币资金</t>
    <phoneticPr fontId="1" type="noConversion"/>
  </si>
  <si>
    <t xml:space="preserve">  短期借款</t>
    <phoneticPr fontId="1" type="noConversion"/>
  </si>
  <si>
    <t xml:space="preserve">  应收账款</t>
    <phoneticPr fontId="1" type="noConversion"/>
  </si>
  <si>
    <t xml:space="preserve">  应付账款</t>
    <phoneticPr fontId="1" type="noConversion"/>
  </si>
  <si>
    <t xml:space="preserve">  存货</t>
    <phoneticPr fontId="1" type="noConversion"/>
  </si>
  <si>
    <t xml:space="preserve">  预收款项</t>
    <phoneticPr fontId="1" type="noConversion"/>
  </si>
  <si>
    <t xml:space="preserve">  预付账款</t>
    <phoneticPr fontId="1" type="noConversion"/>
  </si>
  <si>
    <t xml:space="preserve">  应付职工薪酬</t>
    <phoneticPr fontId="1" type="noConversion"/>
  </si>
  <si>
    <t xml:space="preserve">  其他流动资产</t>
    <phoneticPr fontId="1" type="noConversion"/>
  </si>
  <si>
    <t xml:space="preserve">  应交税费</t>
    <phoneticPr fontId="1" type="noConversion"/>
  </si>
  <si>
    <t>流动资产合计</t>
    <phoneticPr fontId="1" type="noConversion"/>
  </si>
  <si>
    <t>流动负债合计</t>
    <phoneticPr fontId="1" type="noConversion"/>
  </si>
  <si>
    <t>非流动资产：</t>
    <phoneticPr fontId="1" type="noConversion"/>
  </si>
  <si>
    <t>非流动负债：</t>
    <phoneticPr fontId="1" type="noConversion"/>
  </si>
  <si>
    <t xml:space="preserve">  固定资产净值</t>
    <phoneticPr fontId="1" type="noConversion"/>
  </si>
  <si>
    <t xml:space="preserve">  长期借款</t>
    <phoneticPr fontId="1" type="noConversion"/>
  </si>
  <si>
    <t xml:space="preserve">  无形资产</t>
    <phoneticPr fontId="1" type="noConversion"/>
  </si>
  <si>
    <t xml:space="preserve">  长期应付款</t>
    <phoneticPr fontId="1" type="noConversion"/>
  </si>
  <si>
    <t xml:space="preserve">  长期投资</t>
    <phoneticPr fontId="1" type="noConversion"/>
  </si>
  <si>
    <t>非流动资产合计</t>
    <phoneticPr fontId="1" type="noConversion"/>
  </si>
  <si>
    <t>非流动负债合计</t>
    <phoneticPr fontId="1" type="noConversion"/>
  </si>
  <si>
    <t>所有者权益：</t>
    <phoneticPr fontId="1" type="noConversion"/>
  </si>
  <si>
    <t xml:space="preserve">  实收资本</t>
    <phoneticPr fontId="1" type="noConversion"/>
  </si>
  <si>
    <t xml:space="preserve">  资本公积</t>
    <phoneticPr fontId="1" type="noConversion"/>
  </si>
  <si>
    <t xml:space="preserve">  未分配利润</t>
    <phoneticPr fontId="1" type="noConversion"/>
  </si>
  <si>
    <t>所有者权益合计</t>
    <phoneticPr fontId="1" type="noConversion"/>
  </si>
  <si>
    <t>资产总计</t>
    <phoneticPr fontId="1" type="noConversion"/>
  </si>
  <si>
    <t>负债和所有者权益合计</t>
    <phoneticPr fontId="1" type="noConversion"/>
  </si>
  <si>
    <t>项目</t>
    <phoneticPr fontId="1" type="noConversion"/>
  </si>
  <si>
    <t>本期实际</t>
    <phoneticPr fontId="1" type="noConversion"/>
  </si>
  <si>
    <t>本期预算</t>
    <phoneticPr fontId="1" type="noConversion"/>
  </si>
  <si>
    <t>差异额</t>
    <phoneticPr fontId="1" type="noConversion"/>
  </si>
  <si>
    <t>差异率%</t>
    <phoneticPr fontId="1" type="noConversion"/>
  </si>
  <si>
    <t>上期实际</t>
    <phoneticPr fontId="1" type="noConversion"/>
  </si>
  <si>
    <t>一、营业收入</t>
    <phoneticPr fontId="1" type="noConversion"/>
  </si>
  <si>
    <t xml:space="preserve">  减：营业成本</t>
    <phoneticPr fontId="1" type="noConversion"/>
  </si>
  <si>
    <t>二、毛利润</t>
    <phoneticPr fontId="1" type="noConversion"/>
  </si>
  <si>
    <t xml:space="preserve">  毛利率%</t>
    <phoneticPr fontId="1" type="noConversion"/>
  </si>
  <si>
    <t xml:space="preserve">  减：销售费用</t>
    <phoneticPr fontId="1" type="noConversion"/>
  </si>
  <si>
    <t xml:space="preserve">  减：管理费用</t>
    <phoneticPr fontId="1" type="noConversion"/>
  </si>
  <si>
    <t xml:space="preserve">  减：研发费用</t>
    <phoneticPr fontId="1" type="noConversion"/>
  </si>
  <si>
    <t>三、营业利润(EBIT)</t>
    <phoneticPr fontId="1" type="noConversion"/>
  </si>
  <si>
    <t xml:space="preserve">  减：利息费用</t>
    <phoneticPr fontId="1" type="noConversion"/>
  </si>
  <si>
    <t>四、税前利润(EBT)</t>
    <phoneticPr fontId="1" type="noConversion"/>
  </si>
  <si>
    <t xml:space="preserve">  减：所得税(25%)</t>
    <phoneticPr fontId="1" type="noConversion"/>
  </si>
  <si>
    <t>五、净利润</t>
    <phoneticPr fontId="1" type="noConversion"/>
  </si>
  <si>
    <t xml:space="preserve">  净利率%</t>
    <phoneticPr fontId="1" type="noConversion"/>
  </si>
  <si>
    <t>贷款摊还计划表</t>
    <phoneticPr fontId="1" type="noConversion"/>
  </si>
  <si>
    <t>贷款金额</t>
    <phoneticPr fontId="1" type="noConversion"/>
  </si>
  <si>
    <t>年利率</t>
    <phoneticPr fontId="1" type="noConversion"/>
  </si>
  <si>
    <t>期数(月)</t>
    <phoneticPr fontId="1" type="noConversion"/>
  </si>
  <si>
    <t>月还款额</t>
    <phoneticPr fontId="1" type="noConversion"/>
  </si>
  <si>
    <t>期数</t>
    <phoneticPr fontId="1" type="noConversion"/>
  </si>
  <si>
    <t>月还款</t>
    <phoneticPr fontId="1" type="noConversion"/>
  </si>
  <si>
    <t>利息</t>
    <phoneticPr fontId="1" type="noConversion"/>
  </si>
  <si>
    <t>本金</t>
    <phoneticPr fontId="1" type="noConversion"/>
  </si>
  <si>
    <t>项目DCF估值模型 (自由现金流)</t>
    <phoneticPr fontId="1" type="noConversion"/>
  </si>
  <si>
    <t>折现率(WACC)</t>
    <phoneticPr fontId="1" type="noConversion"/>
  </si>
  <si>
    <t>期初投资</t>
    <phoneticPr fontId="1" type="noConversion"/>
  </si>
  <si>
    <t>年份</t>
    <phoneticPr fontId="1" type="noConversion"/>
  </si>
  <si>
    <t>自由现金流</t>
    <phoneticPr fontId="1" type="noConversion"/>
  </si>
  <si>
    <t>NPV</t>
    <phoneticPr fontId="1" type="noConversion"/>
  </si>
  <si>
    <t>IRR</t>
    <phoneticPr fontId="1" type="noConversion"/>
  </si>
  <si>
    <t>科目类型汇总</t>
    <phoneticPr fontId="1" type="noConversion"/>
  </si>
  <si>
    <t>科目类型</t>
    <phoneticPr fontId="1" type="noConversion"/>
  </si>
  <si>
    <t>借方合计</t>
    <phoneticPr fontId="1" type="noConversion"/>
  </si>
  <si>
    <t>贷方合计</t>
    <phoneticPr fontId="1" type="noConversion"/>
  </si>
  <si>
    <t>净额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</si>
</sst>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0" fontId="2" fillId="0" borderId="3" xfId="0" applyFont="1" applyBorder="1"/>
    <xf numFmtId="176" fontId="2" fillId="0" borderId="5" xfId="0" applyNumberFormat="1" applyFont="1" applyBorder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0" fontId="3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14" fontId="4" fillId="3" borderId="4" xfId="0" applyNumberFormat="1" applyFont="1" applyFill="1" applyBorder="1" applyAlignment="1">
      <alignment horizontal="center"/>
    </xf>
    <xf numFmtId="4" fontId="4" fillId="3" borderId="4" xfId="0" applyNumberFormat="1" applyFont="1" applyFill="1" applyBorder="1" applyAlignment="1">
      <alignment horizontal="center"/>
    </xf>
  </cellXfs>
  <cellStyles count="1">
    <cellStyle name="常规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BAE3-5D14-46AA-A52D-83F96DD50156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ABED-E02A-48B1-B9B9-3B836AEC553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03E5D-42F8-4C09-B450-C787E6D7B726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6BAA1-A93D-473A-B1EA-D0C19F78BAB0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1001</v>
      </c>
      <c r="B2" t="s">
        <v>3</v>
      </c>
      <c r="C2" t="s">
        <v>4</v>
      </c>
    </row>
    <row r="3" spans="1:3" x14ac:dyDescent="0.25">
      <c r="A3">
        <v>1002</v>
      </c>
      <c r="B3" t="s">
        <v>5</v>
      </c>
      <c r="C3" t="s">
        <v>4</v>
      </c>
    </row>
    <row r="4" spans="1:3" x14ac:dyDescent="0.25">
      <c r="A4">
        <v>1122</v>
      </c>
      <c r="B4" t="s">
        <v>6</v>
      </c>
      <c r="C4" t="s">
        <v>4</v>
      </c>
    </row>
    <row r="5" spans="1:3" x14ac:dyDescent="0.25">
      <c r="A5">
        <v>1401</v>
      </c>
      <c r="B5" t="s">
        <v>7</v>
      </c>
      <c r="C5" t="s">
        <v>4</v>
      </c>
    </row>
    <row r="6" spans="1:3" x14ac:dyDescent="0.25">
      <c r="A6">
        <v>2001</v>
      </c>
      <c r="B6" t="s">
        <v>8</v>
      </c>
      <c r="C6" t="s">
        <v>9</v>
      </c>
    </row>
    <row r="7" spans="1:3" x14ac:dyDescent="0.25">
      <c r="A7">
        <v>2202</v>
      </c>
      <c r="B7" t="s">
        <v>10</v>
      </c>
      <c r="C7" t="s">
        <v>9</v>
      </c>
    </row>
    <row r="8" spans="1:3" x14ac:dyDescent="0.25">
      <c r="A8">
        <v>4001</v>
      </c>
      <c r="B8" t="s">
        <v>11</v>
      </c>
      <c r="C8" t="s">
        <v>12</v>
      </c>
    </row>
    <row r="9" spans="1:3" x14ac:dyDescent="0.25">
      <c r="A9">
        <v>5001</v>
      </c>
      <c r="B9" t="s">
        <v>13</v>
      </c>
      <c r="C9" t="s">
        <v>14</v>
      </c>
    </row>
    <row r="10" spans="1:3" x14ac:dyDescent="0.25">
      <c r="A10">
        <v>5101</v>
      </c>
      <c r="B10" t="s">
        <v>15</v>
      </c>
      <c r="C10" t="s">
        <v>16</v>
      </c>
    </row>
    <row r="11" spans="1:3" x14ac:dyDescent="0.25">
      <c r="A11">
        <v>5401</v>
      </c>
      <c r="B11" t="s">
        <v>17</v>
      </c>
      <c r="C11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L17"/>
  <sheetViews>
    <sheetView workbookViewId="0"/>
  </sheetViews>
  <sheetFormatPr defaultRowHeight="14" x14ac:dyDescent="0.25"/>
  <cols>
    <col min="1" max="1" width="10.26953125" bestFit="1" customWidth="1"/>
    <col min="2" max="2" width="9.6328125" bestFit="1" customWidth="1"/>
    <col min="3" max="3" width="13.54296875" bestFit="1" customWidth="1"/>
    <col min="4" max="4" width="9.6328125" bestFit="1" customWidth="1"/>
    <col min="5" max="6" width="11.36328125" bestFit="1" customWidth="1"/>
    <col min="7" max="7" width="13.54296875" bestFit="1" customWidth="1"/>
    <col min="8" max="8" width="12.453125" bestFit="1" customWidth="1"/>
    <col min="9" max="9" width="9.6328125" bestFit="1" customWidth="1"/>
    <col min="10" max="11" width="12.36328125" bestFit="1" customWidth="1"/>
    <col min="12" max="12" width="12.453125" bestFit="1" customWidth="1"/>
  </cols>
  <sheetData>
    <row r="1" spans="1:12" x14ac:dyDescent="0.25">
      <c r="A1" s="30">
        <v>45662</v>
      </c>
      <c r="B1" s="22">
        <v>1001</v>
      </c>
      <c r="C1" s="22" t="s">
        <v>3</v>
      </c>
      <c r="D1" s="22" t="s">
        <v>4</v>
      </c>
      <c r="E1" s="23">
        <v>50000</v>
      </c>
      <c r="F1" s="23">
        <v>0</v>
      </c>
      <c r="G1" s="22" t="s">
        <v>18</v>
      </c>
      <c r="H1" t="s">
        <v>19</v>
      </c>
      <c r="I1" s="34" t="s">
        <v>136</v>
      </c>
      <c r="J1" s="34"/>
      <c r="K1" s="34"/>
      <c r="L1" s="34"/>
    </row>
    <row r="2" spans="1:12" x14ac:dyDescent="0.25">
      <c r="A2" s="30">
        <v>45662</v>
      </c>
      <c r="B2" s="22">
        <v>4001</v>
      </c>
      <c r="C2" s="22" t="s">
        <v>11</v>
      </c>
      <c r="D2" s="22" t="s">
        <v>12</v>
      </c>
      <c r="E2" s="23">
        <v>0</v>
      </c>
      <c r="F2" s="23">
        <v>50000</v>
      </c>
      <c r="G2" s="22" t="s">
        <v>18</v>
      </c>
      <c r="H2" s="33" t="str">
        <f>IF(VLOOKUP(B2,辅助表!$A:$C,2,0)=C2,"OK","科目名不符")</f>
        <v>OK</v>
      </c>
      <c r="I2" s="2" t="s">
        <v>137</v>
      </c>
      <c r="J2" s="2" t="s">
        <v>138</v>
      </c>
      <c r="K2" s="2" t="s">
        <v>139</v>
      </c>
      <c r="L2" s="2" t="s">
        <v>140</v>
      </c>
    </row>
    <row r="3" spans="1:12" x14ac:dyDescent="0.25">
      <c r="A3" s="30">
        <v>45667</v>
      </c>
      <c r="B3" s="22">
        <v>1002</v>
      </c>
      <c r="C3" s="22" t="s">
        <v>5</v>
      </c>
      <c r="D3" s="22" t="s">
        <v>4</v>
      </c>
      <c r="E3" s="23">
        <v>200000</v>
      </c>
      <c r="F3" s="23">
        <v>0</v>
      </c>
      <c r="G3" s="22" t="s">
        <v>20</v>
      </c>
      <c r="H3" s="33" t="str">
        <f>IF(VLOOKUP(B3,辅助表!$A:$C,2,0)=C3,"OK","科目名不符")</f>
        <v>OK</v>
      </c>
      <c r="I3" t="s">
        <v>4</v>
      </c>
      <c r="J3" s="19">
        <f>SUMIF($D$2:$D$17,I3,$E$2:$E$17)</f>
        <v>526000</v>
      </c>
      <c r="K3" s="19">
        <f>SUMIF($D$2:$D$17,I3,$F$2:$F$17)</f>
        <v>105500</v>
      </c>
      <c r="L3" s="19">
        <f>J3-K3</f>
        <v>420500</v>
      </c>
    </row>
    <row r="4" spans="1:12" x14ac:dyDescent="0.25">
      <c r="A4" s="30">
        <v>45667</v>
      </c>
      <c r="B4" s="22">
        <v>2001</v>
      </c>
      <c r="C4" s="22" t="s">
        <v>8</v>
      </c>
      <c r="D4" s="22" t="s">
        <v>9</v>
      </c>
      <c r="E4" s="23">
        <v>0</v>
      </c>
      <c r="F4" s="23">
        <v>200000</v>
      </c>
      <c r="G4" s="22" t="s">
        <v>20</v>
      </c>
      <c r="H4" s="33" t="str">
        <f>IF(VLOOKUP(B4,辅助表!$A:$C,2,0)=C4,"OK","科目名不符")</f>
        <v>OK</v>
      </c>
      <c r="I4" t="s">
        <v>9</v>
      </c>
      <c r="J4" s="19">
        <f>SUMIF($D$2:$D$17,I4,$E$2:$E$17)</f>
        <v>0</v>
      </c>
      <c r="K4" s="19">
        <f>SUMIF($D$2:$D$17,I4,$F$2:$F$17)</f>
        <v>236000</v>
      </c>
      <c r="L4" s="19">
        <f>J4-K4</f>
        <v>-236000</v>
      </c>
    </row>
    <row r="5" spans="1:12" x14ac:dyDescent="0.25">
      <c r="A5" s="30">
        <v>45672</v>
      </c>
      <c r="B5" s="22">
        <v>5001</v>
      </c>
      <c r="C5" s="22" t="s">
        <v>13</v>
      </c>
      <c r="D5" s="22" t="s">
        <v>14</v>
      </c>
      <c r="E5" s="23">
        <v>0</v>
      </c>
      <c r="F5" s="23">
        <v>85000</v>
      </c>
      <c r="G5" s="22" t="s">
        <v>21</v>
      </c>
      <c r="H5" s="33" t="str">
        <f>IF(VLOOKUP(B5,辅助表!$A:$C,2,0)=C5,"OK","科目名不符")</f>
        <v>OK</v>
      </c>
      <c r="I5" t="s">
        <v>12</v>
      </c>
      <c r="J5" s="19">
        <f>SUMIF($D$2:$D$17,I5,$E$2:$E$17)</f>
        <v>0</v>
      </c>
      <c r="K5" s="19">
        <f>SUMIF($D$2:$D$17,I5,$F$2:$F$17)</f>
        <v>50000</v>
      </c>
      <c r="L5" s="19">
        <f>J5-K5</f>
        <v>-50000</v>
      </c>
    </row>
    <row r="6" spans="1:12" x14ac:dyDescent="0.25">
      <c r="A6" s="30">
        <v>45672</v>
      </c>
      <c r="B6" s="22">
        <v>1122</v>
      </c>
      <c r="C6" s="22" t="s">
        <v>6</v>
      </c>
      <c r="D6" s="22" t="s">
        <v>4</v>
      </c>
      <c r="E6" s="23">
        <v>85000</v>
      </c>
      <c r="F6" s="23">
        <v>0</v>
      </c>
      <c r="G6" s="22" t="s">
        <v>21</v>
      </c>
      <c r="H6" s="33" t="str">
        <f>IF(VLOOKUP(B6,辅助表!$A:$C,2,0)=C6,"OK","科目名不符")</f>
        <v>OK</v>
      </c>
      <c r="I6" t="s">
        <v>14</v>
      </c>
      <c r="J6" s="19">
        <f>SUMIF($D$2:$D$17,I6,$E$2:$E$17)</f>
        <v>0</v>
      </c>
      <c r="K6" s="19">
        <f>SUMIF($D$2:$D$17,I6,$F$2:$F$17)</f>
        <v>205000</v>
      </c>
      <c r="L6" s="19">
        <f>J6-K6</f>
        <v>-205000</v>
      </c>
    </row>
    <row r="7" spans="1:12" x14ac:dyDescent="0.25">
      <c r="A7" s="30">
        <v>45677</v>
      </c>
      <c r="B7" s="22">
        <v>5401</v>
      </c>
      <c r="C7" s="22" t="s">
        <v>17</v>
      </c>
      <c r="D7" s="22" t="s">
        <v>16</v>
      </c>
      <c r="E7" s="23">
        <v>12000</v>
      </c>
      <c r="F7" s="23">
        <v>0</v>
      </c>
      <c r="G7" s="22" t="s">
        <v>22</v>
      </c>
      <c r="H7" s="33" t="str">
        <f>IF(VLOOKUP(B7,辅助表!$A:$C,2,0)=C7,"OK","科目名不符")</f>
        <v>OK</v>
      </c>
      <c r="I7" t="s">
        <v>16</v>
      </c>
      <c r="J7" s="19">
        <f>SUMIF($D$2:$D$17,I7,$E$2:$E$17)</f>
        <v>20500</v>
      </c>
      <c r="K7" s="19">
        <f>SUMIF($D$2:$D$17,I7,$F$2:$F$17)</f>
        <v>0</v>
      </c>
      <c r="L7" s="19">
        <f>J7-K7</f>
        <v>20500</v>
      </c>
    </row>
    <row r="8" spans="1:12" x14ac:dyDescent="0.25">
      <c r="A8" s="30">
        <v>45677</v>
      </c>
      <c r="B8" s="22">
        <v>1002</v>
      </c>
      <c r="C8" s="22" t="s">
        <v>5</v>
      </c>
      <c r="D8" s="22" t="s">
        <v>4</v>
      </c>
      <c r="E8" s="23">
        <v>0</v>
      </c>
      <c r="F8" s="23">
        <v>12000</v>
      </c>
      <c r="G8" s="22" t="s">
        <v>22</v>
      </c>
      <c r="H8" s="33" t="str">
        <f>IF(VLOOKUP(B8,辅助表!$A:$C,2,0)=C8,"OK","科目名不符")</f>
        <v>OK</v>
      </c>
      <c r="I8" s="4" t="s">
        <v>23</v>
      </c>
      <c r="J8" s="31">
        <f>SUM(J3:J7)</f>
        <v>546500</v>
      </c>
      <c r="K8" s="31">
        <f>SUM(K3:K7)</f>
        <v>596500</v>
      </c>
      <c r="L8" s="32">
        <f>SUM(L3:L7)</f>
        <v>-50000</v>
      </c>
    </row>
    <row r="9" spans="1:12" x14ac:dyDescent="0.25">
      <c r="A9" s="30">
        <v>45691</v>
      </c>
      <c r="B9" s="22">
        <v>1401</v>
      </c>
      <c r="C9" s="22" t="s">
        <v>7</v>
      </c>
      <c r="D9" s="22" t="s">
        <v>4</v>
      </c>
      <c r="E9" s="23">
        <v>36000</v>
      </c>
      <c r="F9" s="23">
        <v>0</v>
      </c>
      <c r="G9" s="22" t="s">
        <v>24</v>
      </c>
      <c r="H9" s="33" t="str">
        <f>IF(VLOOKUP(B9,辅助表!$A:$C,2,0)=C9,"OK","科目名不符")</f>
        <v>OK</v>
      </c>
    </row>
    <row r="10" spans="1:12" x14ac:dyDescent="0.25">
      <c r="A10" s="30">
        <v>45691</v>
      </c>
      <c r="B10" s="22">
        <v>2202</v>
      </c>
      <c r="C10" s="22" t="s">
        <v>10</v>
      </c>
      <c r="D10" s="22" t="s">
        <v>9</v>
      </c>
      <c r="E10" s="23">
        <v>0</v>
      </c>
      <c r="F10" s="23">
        <v>36000</v>
      </c>
      <c r="G10" s="22" t="s">
        <v>24</v>
      </c>
      <c r="H10" s="33" t="str">
        <f>IF(VLOOKUP(B10,辅助表!$A:$C,2,0)=C10,"OK","科目名不符")</f>
        <v>OK</v>
      </c>
    </row>
    <row r="11" spans="1:12" x14ac:dyDescent="0.25">
      <c r="A11" s="30">
        <v>45698</v>
      </c>
      <c r="B11" s="22">
        <v>5101</v>
      </c>
      <c r="C11" s="22" t="s">
        <v>15</v>
      </c>
      <c r="D11" s="22" t="s">
        <v>16</v>
      </c>
      <c r="E11" s="23">
        <v>8500</v>
      </c>
      <c r="F11" s="23">
        <v>0</v>
      </c>
      <c r="G11" s="22" t="s">
        <v>25</v>
      </c>
      <c r="H11" s="33" t="str">
        <f>IF(VLOOKUP(B11,辅助表!$A:$C,2,0)=C11,"OK","科目名不符")</f>
        <v>OK</v>
      </c>
    </row>
    <row r="12" spans="1:12" x14ac:dyDescent="0.25">
      <c r="A12" s="30">
        <v>45698</v>
      </c>
      <c r="B12" s="22">
        <v>1002</v>
      </c>
      <c r="C12" s="22" t="s">
        <v>5</v>
      </c>
      <c r="D12" s="22" t="s">
        <v>4</v>
      </c>
      <c r="E12" s="23">
        <v>0</v>
      </c>
      <c r="F12" s="23">
        <v>8500</v>
      </c>
      <c r="G12" s="22" t="s">
        <v>25</v>
      </c>
      <c r="H12" s="33" t="str">
        <f>IF(VLOOKUP(B12,辅助表!$A:$C,2,0)=C12,"OK","科目名不符")</f>
        <v>OK</v>
      </c>
    </row>
    <row r="13" spans="1:12" x14ac:dyDescent="0.25">
      <c r="A13" s="30">
        <v>45706</v>
      </c>
      <c r="B13" s="22">
        <v>5001</v>
      </c>
      <c r="C13" s="22" t="s">
        <v>13</v>
      </c>
      <c r="D13" s="22" t="s">
        <v>14</v>
      </c>
      <c r="E13" s="23">
        <v>0</v>
      </c>
      <c r="F13" s="23">
        <v>120000</v>
      </c>
      <c r="G13" s="22" t="s">
        <v>26</v>
      </c>
      <c r="H13" s="33" t="str">
        <f>IF(VLOOKUP(B13,辅助表!$A:$C,2,0)=C13,"OK","科目名不符")</f>
        <v>OK</v>
      </c>
    </row>
    <row r="14" spans="1:12" x14ac:dyDescent="0.25">
      <c r="A14" s="30">
        <v>45706</v>
      </c>
      <c r="B14" s="22">
        <v>1122</v>
      </c>
      <c r="C14" s="22" t="s">
        <v>6</v>
      </c>
      <c r="D14" s="22" t="s">
        <v>4</v>
      </c>
      <c r="E14" s="23">
        <v>120000</v>
      </c>
      <c r="F14" s="23">
        <v>0</v>
      </c>
      <c r="G14" s="22" t="s">
        <v>26</v>
      </c>
      <c r="H14" s="33" t="str">
        <f>IF(VLOOKUP(B14,辅助表!$A:$C,2,0)=C14,"OK","科目名不符")</f>
        <v>OK</v>
      </c>
    </row>
    <row r="15" spans="1:12" x14ac:dyDescent="0.25">
      <c r="A15" s="30">
        <v>45717</v>
      </c>
      <c r="B15" s="22">
        <v>1002</v>
      </c>
      <c r="C15" s="22" t="s">
        <v>5</v>
      </c>
      <c r="D15" s="22" t="s">
        <v>4</v>
      </c>
      <c r="E15" s="23">
        <v>85000</v>
      </c>
      <c r="F15" s="23">
        <v>0</v>
      </c>
      <c r="G15" s="22" t="s">
        <v>27</v>
      </c>
      <c r="H15" s="33" t="str">
        <f>IF(VLOOKUP(B15,辅助表!$A:$C,2,0)=C15,"OK","科目名不符")</f>
        <v>OK</v>
      </c>
    </row>
    <row r="16" spans="1:12" x14ac:dyDescent="0.25">
      <c r="A16" s="44">
        <v>45717</v>
      </c>
      <c r="B16" s="29">
        <v>1122</v>
      </c>
      <c r="C16" s="29" t="s">
        <v>6</v>
      </c>
      <c r="D16" s="29" t="s">
        <v>4</v>
      </c>
      <c r="E16" s="45">
        <v>0</v>
      </c>
      <c r="F16" s="45">
        <v>85000</v>
      </c>
      <c r="G16" s="29" t="s">
        <v>27</v>
      </c>
      <c r="H16" s="33" t="str">
        <f>IF(VLOOKUP(B16,辅助表!$A:$C,2,0)=C16,"OK","科目名不符")</f>
        <v>OK</v>
      </c>
    </row>
    <row r="17" spans="1:8" x14ac:dyDescent="0.25">
      <c r="A17" s="44" t="s">
        <v>28</v>
      </c>
      <c r="B17" s="29" t="s">
        <v>0</v>
      </c>
      <c r="C17" s="29" t="s">
        <v>1</v>
      </c>
      <c r="D17" s="29" t="s">
        <v>2</v>
      </c>
      <c r="E17" s="45" t="s">
        <v>29</v>
      </c>
      <c r="F17" s="45" t="s">
        <v>30</v>
      </c>
      <c r="G17" s="29" t="s">
        <v>31</v>
      </c>
      <c r="H17" s="33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EC239893-E088-43FB-BA94-0394D443CA46}">
      <formula1>"资产,负债,权益,收入,费用"</formula1>
    </dataValidation>
    <dataValidation type="decimal" operator="greaterThanOrEqual" allowBlank="1" showInputMessage="1" showErrorMessage="1" error="金额不能为负数" sqref="E2:F17" xr:uid="{D098E881-C1CF-45C7-A6AB-6A3AB1C4BDBD}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customHeight="1" x14ac:dyDescent="0.3">
      <c r="A1" s="35" t="s">
        <v>120</v>
      </c>
      <c r="B1" s="35"/>
      <c r="C1" s="35"/>
      <c r="D1" s="35"/>
      <c r="E1" s="35"/>
      <c r="F1" s="35"/>
      <c r="H1" s="36" t="s">
        <v>129</v>
      </c>
      <c r="I1" s="36"/>
      <c r="J1" s="36"/>
      <c r="K1" s="36"/>
      <c r="L1" s="36"/>
      <c r="M1" s="36"/>
      <c r="N1" s="36"/>
    </row>
    <row r="3" spans="1:14" x14ac:dyDescent="0.25">
      <c r="A3" t="s">
        <v>121</v>
      </c>
      <c r="B3" s="19">
        <v>1000000</v>
      </c>
      <c r="H3" t="s">
        <v>130</v>
      </c>
      <c r="I3" s="16">
        <v>0.1</v>
      </c>
    </row>
    <row r="4" spans="1:14" x14ac:dyDescent="0.25">
      <c r="A4" t="s">
        <v>122</v>
      </c>
      <c r="B4" s="19">
        <v>4.4999999999999998E-2</v>
      </c>
      <c r="H4" t="s">
        <v>131</v>
      </c>
      <c r="I4">
        <v>-500000</v>
      </c>
    </row>
    <row r="5" spans="1:14" x14ac:dyDescent="0.25">
      <c r="A5" t="s">
        <v>123</v>
      </c>
      <c r="B5" s="19">
        <v>60</v>
      </c>
      <c r="H5" s="2" t="s">
        <v>132</v>
      </c>
      <c r="I5" s="2" t="s">
        <v>133</v>
      </c>
    </row>
    <row r="6" spans="1:14" x14ac:dyDescent="0.25">
      <c r="A6" s="20" t="s">
        <v>124</v>
      </c>
      <c r="B6" s="21">
        <f>PMT(B4/12,B5,-B3)</f>
        <v>18643.019241516649</v>
      </c>
      <c r="H6">
        <v>1</v>
      </c>
      <c r="I6" s="24">
        <v>80000</v>
      </c>
    </row>
    <row r="7" spans="1:14" x14ac:dyDescent="0.25">
      <c r="H7">
        <v>2</v>
      </c>
      <c r="I7" s="24">
        <v>110000</v>
      </c>
    </row>
    <row r="8" spans="1:14" x14ac:dyDescent="0.25">
      <c r="A8" s="2" t="s">
        <v>125</v>
      </c>
      <c r="B8" s="2" t="s">
        <v>69</v>
      </c>
      <c r="C8" s="2" t="s">
        <v>126</v>
      </c>
      <c r="D8" s="2" t="s">
        <v>127</v>
      </c>
      <c r="E8" s="2" t="s">
        <v>128</v>
      </c>
      <c r="F8" s="2" t="s">
        <v>68</v>
      </c>
      <c r="H8">
        <v>3</v>
      </c>
      <c r="I8" s="24">
        <v>150000</v>
      </c>
    </row>
    <row r="9" spans="1:14" x14ac:dyDescent="0.25">
      <c r="A9" s="22">
        <v>1</v>
      </c>
      <c r="B9" s="23">
        <f>$B$3</f>
        <v>1000000</v>
      </c>
      <c r="C9" s="23">
        <f>$B$6</f>
        <v>18643.019241516649</v>
      </c>
      <c r="D9" s="23">
        <f>B9*$B$4/12</f>
        <v>3750</v>
      </c>
      <c r="E9" s="23">
        <f>C9-D9</f>
        <v>14893.019241516649</v>
      </c>
      <c r="F9" s="23">
        <f>B9-E9</f>
        <v>985106.98075848341</v>
      </c>
      <c r="H9">
        <v>4</v>
      </c>
      <c r="I9" s="24">
        <v>200000</v>
      </c>
    </row>
    <row r="10" spans="1:14" x14ac:dyDescent="0.25">
      <c r="A10" s="22">
        <v>2</v>
      </c>
      <c r="B10" s="23">
        <f>F9</f>
        <v>985106.98075848341</v>
      </c>
      <c r="C10" s="23">
        <f>$B$6</f>
        <v>18643.019241516649</v>
      </c>
      <c r="D10" s="23">
        <f>B10*$B$4/12</f>
        <v>3694.1511778443128</v>
      </c>
      <c r="E10" s="23">
        <f>C10-D10</f>
        <v>14948.868063672337</v>
      </c>
      <c r="F10" s="23">
        <f>B10-E10</f>
        <v>970158.11269481108</v>
      </c>
      <c r="H10">
        <v>5</v>
      </c>
      <c r="I10" s="24">
        <v>280000</v>
      </c>
    </row>
    <row r="11" spans="1:14" x14ac:dyDescent="0.25">
      <c r="A11" s="22">
        <v>3</v>
      </c>
      <c r="B11" s="23">
        <f>F10</f>
        <v>970158.11269481108</v>
      </c>
      <c r="C11" s="23">
        <f>$B$6</f>
        <v>18643.019241516649</v>
      </c>
      <c r="D11" s="23">
        <f>B11*$B$4/12</f>
        <v>3638.0929226055414</v>
      </c>
      <c r="E11" s="23">
        <f>C11-D11</f>
        <v>15004.926318911108</v>
      </c>
      <c r="F11" s="23">
        <f>B11-E11</f>
        <v>955153.18637589994</v>
      </c>
    </row>
    <row r="12" spans="1:14" x14ac:dyDescent="0.25">
      <c r="A12" s="22">
        <v>4</v>
      </c>
      <c r="B12" s="23">
        <f>F11</f>
        <v>955153.18637589994</v>
      </c>
      <c r="C12" s="23">
        <f>$B$6</f>
        <v>18643.019241516649</v>
      </c>
      <c r="D12" s="23">
        <f>B12*$B$4/12</f>
        <v>3581.8244489096246</v>
      </c>
      <c r="E12" s="23">
        <f>C12-D12</f>
        <v>15061.194792607024</v>
      </c>
      <c r="F12" s="23">
        <f>B12-E12</f>
        <v>940091.99158329295</v>
      </c>
      <c r="H12" s="25" t="s">
        <v>134</v>
      </c>
      <c r="I12" s="27">
        <f>NPV(I3,I6:I10)+I4</f>
        <v>86794.245301177725</v>
      </c>
    </row>
    <row r="13" spans="1:14" x14ac:dyDescent="0.25">
      <c r="A13" s="22">
        <v>5</v>
      </c>
      <c r="B13" s="23">
        <f>F12</f>
        <v>940091.99158329295</v>
      </c>
      <c r="C13" s="23">
        <f>$B$6</f>
        <v>18643.019241516649</v>
      </c>
      <c r="D13" s="23">
        <f>B13*$B$4/12</f>
        <v>3525.3449684373486</v>
      </c>
      <c r="E13" s="23">
        <f>C13-D13</f>
        <v>15117.674273079301</v>
      </c>
      <c r="F13" s="23">
        <f>B13-E13</f>
        <v>924974.31731021369</v>
      </c>
      <c r="H13" s="26" t="s">
        <v>135</v>
      </c>
      <c r="I13" s="28">
        <f>IRR(I4:I10)</f>
        <v>0.15338761042527493</v>
      </c>
    </row>
    <row r="14" spans="1:14" x14ac:dyDescent="0.25">
      <c r="A14" s="22">
        <v>6</v>
      </c>
      <c r="B14" s="23">
        <f>F13</f>
        <v>924974.31731021369</v>
      </c>
      <c r="C14" s="23">
        <f>$B$6</f>
        <v>18643.019241516649</v>
      </c>
      <c r="D14" s="23">
        <f>B14*$B$4/12</f>
        <v>3468.6536899133012</v>
      </c>
      <c r="E14" s="23">
        <f>C14-D14</f>
        <v>15174.365551603349</v>
      </c>
      <c r="F14" s="23">
        <f>B14-E14</f>
        <v>909799.95175861032</v>
      </c>
    </row>
    <row r="15" spans="1:14" x14ac:dyDescent="0.25">
      <c r="A15" s="22">
        <v>7</v>
      </c>
      <c r="B15" s="23">
        <f>F14</f>
        <v>909799.95175861032</v>
      </c>
      <c r="C15" s="23">
        <f>$B$6</f>
        <v>18643.019241516649</v>
      </c>
      <c r="D15" s="23">
        <f>B15*$B$4/12</f>
        <v>3411.7498190947886</v>
      </c>
      <c r="E15" s="23">
        <f>C15-D15</f>
        <v>15231.269422421861</v>
      </c>
      <c r="F15" s="23">
        <f>B15-E15</f>
        <v>894568.6823361885</v>
      </c>
    </row>
    <row r="16" spans="1:14" x14ac:dyDescent="0.25">
      <c r="A16" s="22">
        <v>8</v>
      </c>
      <c r="B16" s="23">
        <f>F15</f>
        <v>894568.6823361885</v>
      </c>
      <c r="C16" s="23">
        <f>$B$6</f>
        <v>18643.019241516649</v>
      </c>
      <c r="D16" s="23">
        <f>B16*$B$4/12</f>
        <v>3354.6325587607066</v>
      </c>
      <c r="E16" s="23">
        <f>C16-D16</f>
        <v>15288.386682755943</v>
      </c>
      <c r="F16" s="23">
        <f>B16-E16</f>
        <v>879280.29565343261</v>
      </c>
    </row>
    <row r="17" spans="1:6" x14ac:dyDescent="0.25">
      <c r="A17" s="22">
        <v>9</v>
      </c>
      <c r="B17" s="23">
        <f>F16</f>
        <v>879280.29565343261</v>
      </c>
      <c r="C17" s="23">
        <f>$B$6</f>
        <v>18643.019241516649</v>
      </c>
      <c r="D17" s="23">
        <f>B17*$B$4/12</f>
        <v>3297.3011087003724</v>
      </c>
      <c r="E17" s="23">
        <f>C17-D17</f>
        <v>15345.718132816277</v>
      </c>
      <c r="F17" s="23">
        <f>B17-E17</f>
        <v>863934.57752061635</v>
      </c>
    </row>
    <row r="18" spans="1:6" x14ac:dyDescent="0.25">
      <c r="A18" s="22">
        <v>10</v>
      </c>
      <c r="B18" s="23">
        <f>F17</f>
        <v>863934.57752061635</v>
      </c>
      <c r="C18" s="23">
        <f>$B$6</f>
        <v>18643.019241516649</v>
      </c>
      <c r="D18" s="23">
        <f>B18*$B$4/12</f>
        <v>3239.7546657023108</v>
      </c>
      <c r="E18" s="23">
        <f>C18-D18</f>
        <v>15403.264575814339</v>
      </c>
      <c r="F18" s="23">
        <f>B18-E18</f>
        <v>848531.31294480199</v>
      </c>
    </row>
    <row r="19" spans="1:6" x14ac:dyDescent="0.25">
      <c r="A19" s="22">
        <v>11</v>
      </c>
      <c r="B19" s="23">
        <f>F18</f>
        <v>848531.31294480199</v>
      </c>
      <c r="C19" s="23">
        <f>$B$6</f>
        <v>18643.019241516649</v>
      </c>
      <c r="D19" s="23">
        <f>B19*$B$4/12</f>
        <v>3181.9924235430076</v>
      </c>
      <c r="E19" s="23">
        <f>C19-D19</f>
        <v>15461.026817973641</v>
      </c>
      <c r="F19" s="23">
        <f>B19-E19</f>
        <v>833070.2861268284</v>
      </c>
    </row>
    <row r="20" spans="1:6" x14ac:dyDescent="0.25">
      <c r="A20" s="22">
        <v>12</v>
      </c>
      <c r="B20" s="23">
        <f>F19</f>
        <v>833070.2861268284</v>
      </c>
      <c r="C20" s="23">
        <f>$B$6</f>
        <v>18643.019241516649</v>
      </c>
      <c r="D20" s="23">
        <f>B20*$B$4/12</f>
        <v>3124.0135729756062</v>
      </c>
      <c r="E20" s="23">
        <f>C20-D20</f>
        <v>15519.005668541044</v>
      </c>
      <c r="F20" s="23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5" t="s">
        <v>101</v>
      </c>
      <c r="B1" s="15" t="s">
        <v>102</v>
      </c>
      <c r="C1" s="15" t="s">
        <v>103</v>
      </c>
      <c r="D1" s="15" t="s">
        <v>104</v>
      </c>
      <c r="E1" s="15" t="s">
        <v>105</v>
      </c>
      <c r="F1" s="15" t="s">
        <v>106</v>
      </c>
    </row>
    <row r="2" spans="1:6" x14ac:dyDescent="0.25">
      <c r="A2" t="s">
        <v>107</v>
      </c>
      <c r="B2" s="3">
        <v>5200000</v>
      </c>
      <c r="C2" s="3">
        <v>5000000</v>
      </c>
      <c r="D2" s="3">
        <f>IF(AND(B2&lt;&gt;"",C2&lt;&gt;""),B2-C2,"")</f>
        <v>200000</v>
      </c>
      <c r="E2" s="16">
        <f>IF(AND(D2&lt;&gt;"",C2&lt;&gt;0),D2/C2,"")</f>
        <v>0.04</v>
      </c>
      <c r="F2">
        <v>4800000</v>
      </c>
    </row>
    <row r="3" spans="1:6" x14ac:dyDescent="0.25">
      <c r="A3" t="s">
        <v>108</v>
      </c>
      <c r="B3" s="3">
        <v>3120000</v>
      </c>
      <c r="C3" s="3">
        <v>3000000</v>
      </c>
      <c r="D3" s="3">
        <f>IF(AND(B3&lt;&gt;"",C3&lt;&gt;""),B3-C3,"")</f>
        <v>120000</v>
      </c>
      <c r="E3" s="16">
        <f>IF(AND(D3&lt;&gt;"",C3&lt;&gt;0),D3/C3,"")</f>
        <v>0.04</v>
      </c>
      <c r="F3">
        <v>2880000</v>
      </c>
    </row>
    <row r="4" spans="1:6" x14ac:dyDescent="0.25">
      <c r="A4" s="4" t="s">
        <v>109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17">
        <f>IF(AND(D4&lt;&gt;"",C4&lt;&gt;0),D4/C4,"")</f>
        <v>0.04</v>
      </c>
      <c r="F4" s="18">
        <f>F2-F3</f>
        <v>1920000</v>
      </c>
    </row>
    <row r="5" spans="1:6" x14ac:dyDescent="0.25">
      <c r="A5" t="s">
        <v>110</v>
      </c>
      <c r="B5" s="16">
        <f>IF(B2=0,0,B4/B2)</f>
        <v>0.4</v>
      </c>
      <c r="C5" s="16">
        <f>IF(C2=0,0,C4/C2)</f>
        <v>0.4</v>
      </c>
      <c r="D5" s="16">
        <f>IF(AND(B5&lt;&gt;"",C5&lt;&gt;""),B5-C5,"")</f>
        <v>0</v>
      </c>
      <c r="E5" s="16">
        <f>IF(AND(D5&lt;&gt;"",C5&lt;&gt;0),D5/C5,"")</f>
        <v>0</v>
      </c>
      <c r="F5" s="16">
        <f>IF(F2=0,0,F4/F2)</f>
        <v>0.4</v>
      </c>
    </row>
    <row r="6" spans="1:6" x14ac:dyDescent="0.25">
      <c r="A6" t="s">
        <v>111</v>
      </c>
      <c r="B6" s="3">
        <v>520000</v>
      </c>
      <c r="C6" s="3">
        <v>480000</v>
      </c>
      <c r="D6" s="3">
        <f>IF(AND(B6&lt;&gt;"",C6&lt;&gt;""),B6-C6,"")</f>
        <v>40000</v>
      </c>
      <c r="E6" s="16">
        <f>IF(AND(D6&lt;&gt;"",C6&lt;&gt;0),D6/C6,"")</f>
        <v>8.3333333333333329E-2</v>
      </c>
      <c r="F6">
        <v>450000</v>
      </c>
    </row>
    <row r="7" spans="1:6" x14ac:dyDescent="0.25">
      <c r="A7" t="s">
        <v>112</v>
      </c>
      <c r="B7" s="3">
        <v>380000</v>
      </c>
      <c r="C7" s="3">
        <v>360000</v>
      </c>
      <c r="D7" s="3">
        <f>IF(AND(B7&lt;&gt;"",C7&lt;&gt;""),B7-C7,"")</f>
        <v>20000</v>
      </c>
      <c r="E7" s="16">
        <f>IF(AND(D7&lt;&gt;"",C7&lt;&gt;0),D7/C7,"")</f>
        <v>5.5555555555555552E-2</v>
      </c>
      <c r="F7">
        <v>340000</v>
      </c>
    </row>
    <row r="8" spans="1:6" x14ac:dyDescent="0.25">
      <c r="A8" t="s">
        <v>113</v>
      </c>
      <c r="B8" s="3">
        <v>210000</v>
      </c>
      <c r="C8" s="3">
        <v>200000</v>
      </c>
      <c r="D8" s="3">
        <f>IF(AND(B8&lt;&gt;"",C8&lt;&gt;""),B8-C8,"")</f>
        <v>10000</v>
      </c>
      <c r="E8" s="16">
        <f>IF(AND(D8&lt;&gt;"",C8&lt;&gt;0),D8/C8,"")</f>
        <v>0.05</v>
      </c>
      <c r="F8">
        <v>180000</v>
      </c>
    </row>
    <row r="9" spans="1:6" x14ac:dyDescent="0.25">
      <c r="A9" s="4" t="s">
        <v>114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17">
        <f>IF(AND(D9&lt;&gt;"",C9&lt;&gt;0),D9/C9,"")</f>
        <v>1.0416666666666666E-2</v>
      </c>
      <c r="F9" s="18">
        <f>F4-F6-F7-F8</f>
        <v>950000</v>
      </c>
    </row>
    <row r="10" spans="1:6" x14ac:dyDescent="0.25">
      <c r="A10" t="s">
        <v>115</v>
      </c>
      <c r="B10" s="3">
        <v>45000</v>
      </c>
      <c r="C10" s="3">
        <v>42000</v>
      </c>
      <c r="D10" s="3">
        <f>IF(AND(B10&lt;&gt;"",C10&lt;&gt;""),B10-C10,"")</f>
        <v>3000</v>
      </c>
      <c r="E10" s="16">
        <f>IF(AND(D10&lt;&gt;"",C10&lt;&gt;0),D10/C10,"")</f>
        <v>7.1428571428571425E-2</v>
      </c>
      <c r="F10">
        <v>40000</v>
      </c>
    </row>
    <row r="11" spans="1:6" x14ac:dyDescent="0.25">
      <c r="A11" s="4" t="s">
        <v>116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17">
        <f>IF(AND(D11&lt;&gt;"",C11&lt;&gt;0),D11/C11,"")</f>
        <v>7.6252723311546842E-3</v>
      </c>
      <c r="F11" s="18">
        <f>F9-F10</f>
        <v>910000</v>
      </c>
    </row>
    <row r="12" spans="1:6" x14ac:dyDescent="0.25">
      <c r="A12" t="s">
        <v>117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6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118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17">
        <f>IF(AND(D13&lt;&gt;"",C13&lt;&gt;0),D13/C13,"")</f>
        <v>7.6252723311546842E-3</v>
      </c>
      <c r="F13" s="18">
        <f>F11-F12</f>
        <v>682500</v>
      </c>
    </row>
    <row r="14" spans="1:6" x14ac:dyDescent="0.25">
      <c r="A14" t="s">
        <v>119</v>
      </c>
      <c r="B14" s="16">
        <f>IF(B2=0,0,B13/B2)</f>
        <v>0.13341346153846154</v>
      </c>
      <c r="C14" s="16">
        <f>IF(C2=0,0,C13/C2)</f>
        <v>0.13769999999999999</v>
      </c>
      <c r="D14" s="16">
        <f>IF(AND(B14&lt;&gt;"",C14&lt;&gt;""),B14-C14,"")</f>
        <v>-4.2865384615384527E-3</v>
      </c>
      <c r="E14" s="16">
        <f>IF(AND(D14&lt;&gt;"",C14&lt;&gt;0),D14/C14,"")</f>
        <v>-3.1129545835428128E-2</v>
      </c>
      <c r="F14" s="16"/>
    </row>
  </sheetData>
  <phoneticPr fontId="1" type="noConversion"/>
  <conditionalFormatting sqref="B2:B14">
    <cfRule type="dataBar" priority="4">
      <dataBar>
        <cfvo type="min"/>
        <cfvo type="max"/>
        <color rgb="FF638EC6"/>
      </dataBar>
    </cfRule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{F617A6B8-DC1C-41EF-ABCA-41903AE465FB}</x14:id>
        </ext>
      </extLst>
    </cfRule>
  </conditionalFormatting>
  <conditionalFormatting sqref="D2:D14">
    <cfRule type="cellIs" dxfId="3" priority="1" stopIfTrue="1" operator="greaterThan">
      <formula>0</formula>
    </cfRule>
    <cfRule type="cellIs" dxfId="2" priority="2" stopIfTrue="1" operator="lessThan">
      <formula>0</formula>
    </cfRule>
    <cfRule type="cellIs" dxfId="1" priority="5" stopIfTrue="1" operator="greaterThan">
      <formula>0</formula>
    </cfRule>
    <cfRule type="cellIs" dxfId="0" priority="6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17A6B8-DC1C-41EF-ABCA-41903AE465F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9" t="s">
        <v>66</v>
      </c>
      <c r="B1" s="39"/>
      <c r="C1" s="39"/>
      <c r="D1" s="39"/>
      <c r="E1" s="39"/>
      <c r="F1" s="39"/>
    </row>
    <row r="2" spans="1:6" x14ac:dyDescent="0.25">
      <c r="A2" s="6" t="s">
        <v>67</v>
      </c>
      <c r="B2" s="7" t="s">
        <v>68</v>
      </c>
      <c r="C2" s="7" t="s">
        <v>69</v>
      </c>
      <c r="D2" s="7" t="s">
        <v>70</v>
      </c>
      <c r="E2" s="7" t="s">
        <v>68</v>
      </c>
      <c r="F2" s="8" t="s">
        <v>69</v>
      </c>
    </row>
    <row r="3" spans="1:6" x14ac:dyDescent="0.25">
      <c r="A3" s="9" t="s">
        <v>71</v>
      </c>
      <c r="B3" s="10"/>
      <c r="C3" s="10"/>
      <c r="D3" s="9" t="s">
        <v>72</v>
      </c>
      <c r="E3" s="10"/>
      <c r="F3" s="10"/>
    </row>
    <row r="4" spans="1:6" x14ac:dyDescent="0.25">
      <c r="A4" s="9" t="s">
        <v>73</v>
      </c>
      <c r="B4" s="10">
        <v>850000</v>
      </c>
      <c r="C4" s="10">
        <v>720000</v>
      </c>
      <c r="D4" s="9" t="s">
        <v>74</v>
      </c>
      <c r="E4" s="10">
        <v>200000</v>
      </c>
      <c r="F4" s="10">
        <v>150000</v>
      </c>
    </row>
    <row r="5" spans="1:6" x14ac:dyDescent="0.25">
      <c r="A5" s="9" t="s">
        <v>75</v>
      </c>
      <c r="B5" s="10">
        <v>430000</v>
      </c>
      <c r="C5" s="10">
        <v>380000</v>
      </c>
      <c r="D5" s="9" t="s">
        <v>76</v>
      </c>
      <c r="E5" s="10">
        <v>310000</v>
      </c>
      <c r="F5" s="10">
        <v>270000</v>
      </c>
    </row>
    <row r="6" spans="1:6" x14ac:dyDescent="0.25">
      <c r="A6" s="9" t="s">
        <v>77</v>
      </c>
      <c r="B6" s="10">
        <v>280000</v>
      </c>
      <c r="C6" s="10">
        <v>260000</v>
      </c>
      <c r="D6" s="9" t="s">
        <v>78</v>
      </c>
      <c r="E6" s="10">
        <v>45000</v>
      </c>
      <c r="F6" s="10">
        <v>38000</v>
      </c>
    </row>
    <row r="7" spans="1:6" x14ac:dyDescent="0.25">
      <c r="A7" s="9" t="s">
        <v>79</v>
      </c>
      <c r="B7" s="10">
        <v>35000</v>
      </c>
      <c r="C7" s="10">
        <v>28000</v>
      </c>
      <c r="D7" s="9" t="s">
        <v>80</v>
      </c>
      <c r="E7" s="10">
        <v>82000</v>
      </c>
      <c r="F7" s="10">
        <v>76000</v>
      </c>
    </row>
    <row r="8" spans="1:6" x14ac:dyDescent="0.25">
      <c r="A8" s="9" t="s">
        <v>81</v>
      </c>
      <c r="B8" s="10">
        <v>15000</v>
      </c>
      <c r="C8" s="10">
        <v>12000</v>
      </c>
      <c r="D8" s="9" t="s">
        <v>82</v>
      </c>
      <c r="E8" s="10">
        <v>28000</v>
      </c>
      <c r="F8" s="10">
        <v>24000</v>
      </c>
    </row>
    <row r="9" spans="1:6" x14ac:dyDescent="0.25">
      <c r="A9" s="11" t="s">
        <v>83</v>
      </c>
      <c r="B9" s="40">
        <f>SUM(B4:B8)</f>
        <v>1610000</v>
      </c>
      <c r="C9" s="40">
        <f>SUM(C4:C8)</f>
        <v>1400000</v>
      </c>
      <c r="D9" s="41" t="s">
        <v>84</v>
      </c>
      <c r="E9" s="40">
        <f>SUM(E4:E8)</f>
        <v>665000</v>
      </c>
      <c r="F9" s="42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85</v>
      </c>
      <c r="B11" s="10"/>
      <c r="C11" s="10"/>
      <c r="D11" s="9" t="s">
        <v>86</v>
      </c>
      <c r="E11" s="10"/>
      <c r="F11" s="10"/>
    </row>
    <row r="12" spans="1:6" x14ac:dyDescent="0.25">
      <c r="A12" s="9" t="s">
        <v>87</v>
      </c>
      <c r="B12" s="10">
        <v>1200000</v>
      </c>
      <c r="C12" s="10">
        <v>1350000</v>
      </c>
      <c r="D12" s="9" t="s">
        <v>88</v>
      </c>
      <c r="E12" s="10">
        <v>500000</v>
      </c>
      <c r="F12" s="10">
        <v>600000</v>
      </c>
    </row>
    <row r="13" spans="1:6" x14ac:dyDescent="0.25">
      <c r="A13" s="9" t="s">
        <v>89</v>
      </c>
      <c r="B13" s="10">
        <v>180000</v>
      </c>
      <c r="C13" s="10">
        <v>200000</v>
      </c>
      <c r="D13" s="9" t="s">
        <v>90</v>
      </c>
      <c r="E13" s="10">
        <v>80000</v>
      </c>
      <c r="F13" s="10">
        <v>90000</v>
      </c>
    </row>
    <row r="14" spans="1:6" x14ac:dyDescent="0.25">
      <c r="A14" s="11" t="s">
        <v>91</v>
      </c>
      <c r="B14" s="40">
        <f>SUM(B11:B13)</f>
        <v>1380000</v>
      </c>
      <c r="C14" s="40">
        <f>SUM(C11:C13)</f>
        <v>1550000</v>
      </c>
      <c r="D14" s="41"/>
      <c r="E14" s="40">
        <f>SUM(E11:E12)</f>
        <v>500000</v>
      </c>
      <c r="F14" s="42">
        <f>SUM(F11:F12)</f>
        <v>600000</v>
      </c>
    </row>
    <row r="15" spans="1:6" x14ac:dyDescent="0.25">
      <c r="A15" s="9" t="s">
        <v>92</v>
      </c>
      <c r="B15" s="10"/>
      <c r="C15" s="10"/>
      <c r="D15" s="9" t="s">
        <v>93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94</v>
      </c>
      <c r="E17" s="10"/>
      <c r="F17" s="10"/>
    </row>
    <row r="18" spans="1:6" x14ac:dyDescent="0.25">
      <c r="A18" s="9"/>
      <c r="B18" s="10"/>
      <c r="C18" s="10"/>
      <c r="D18" s="9" t="s">
        <v>95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96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97</v>
      </c>
      <c r="E20" s="43">
        <f>SUM(E17:E19)</f>
        <v>1000000</v>
      </c>
      <c r="F20" s="43">
        <f>SUM(F17:F19)</f>
        <v>1000000</v>
      </c>
    </row>
    <row r="21" spans="1:6" x14ac:dyDescent="0.25">
      <c r="A21" s="11"/>
      <c r="B21" s="40">
        <f>B9+B14</f>
        <v>2990000</v>
      </c>
      <c r="C21" s="40">
        <f>C9+C14</f>
        <v>2950000</v>
      </c>
      <c r="D21" s="41" t="s">
        <v>98</v>
      </c>
      <c r="E21" s="40">
        <f>E9+E14+E20</f>
        <v>2165000</v>
      </c>
      <c r="F21" s="42">
        <f>F9+F14+F20</f>
        <v>2158000</v>
      </c>
    </row>
    <row r="22" spans="1:6" x14ac:dyDescent="0.25">
      <c r="A22" s="9" t="s">
        <v>99</v>
      </c>
      <c r="B22" s="9"/>
      <c r="C22" s="9"/>
      <c r="D22" s="9" t="s">
        <v>100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F30"/>
  <sheetViews>
    <sheetView workbookViewId="0"/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customHeight="1" x14ac:dyDescent="0.25">
      <c r="A1" s="37" t="s">
        <v>34</v>
      </c>
      <c r="B1" s="38"/>
      <c r="C1" s="38"/>
      <c r="D1" s="38"/>
      <c r="E1" s="38"/>
      <c r="F1" s="38"/>
    </row>
    <row r="2" spans="1:6" x14ac:dyDescent="0.25">
      <c r="A2" s="6" t="s">
        <v>4</v>
      </c>
      <c r="B2" s="7" t="s">
        <v>33</v>
      </c>
      <c r="C2" s="7" t="s">
        <v>32</v>
      </c>
      <c r="D2" s="7" t="s">
        <v>35</v>
      </c>
      <c r="E2" s="7" t="s">
        <v>33</v>
      </c>
      <c r="F2" s="8" t="s">
        <v>32</v>
      </c>
    </row>
    <row r="3" spans="1:6" x14ac:dyDescent="0.25">
      <c r="A3" s="9" t="s">
        <v>36</v>
      </c>
      <c r="B3" s="10"/>
      <c r="C3" s="10"/>
      <c r="D3" s="9" t="s">
        <v>37</v>
      </c>
      <c r="E3" s="10"/>
      <c r="F3" s="10"/>
    </row>
    <row r="4" spans="1:6" x14ac:dyDescent="0.25">
      <c r="A4" s="9" t="s">
        <v>38</v>
      </c>
      <c r="B4" s="10">
        <v>850000</v>
      </c>
      <c r="C4" s="10">
        <v>720000</v>
      </c>
      <c r="D4" s="9" t="s">
        <v>39</v>
      </c>
      <c r="E4" s="10">
        <v>200000</v>
      </c>
      <c r="F4" s="10">
        <v>150000</v>
      </c>
    </row>
    <row r="5" spans="1:6" x14ac:dyDescent="0.25">
      <c r="A5" s="9" t="s">
        <v>40</v>
      </c>
      <c r="B5" s="10">
        <v>430000</v>
      </c>
      <c r="C5" s="10">
        <v>380000</v>
      </c>
      <c r="D5" s="9" t="s">
        <v>41</v>
      </c>
      <c r="E5" s="10">
        <v>310000</v>
      </c>
      <c r="F5" s="10">
        <v>270000</v>
      </c>
    </row>
    <row r="6" spans="1:6" x14ac:dyDescent="0.25">
      <c r="A6" s="9" t="s">
        <v>42</v>
      </c>
      <c r="B6" s="10">
        <v>280000</v>
      </c>
      <c r="C6" s="10">
        <v>260000</v>
      </c>
      <c r="D6" s="9" t="s">
        <v>43</v>
      </c>
      <c r="E6" s="10">
        <v>45000</v>
      </c>
      <c r="F6" s="10">
        <v>38000</v>
      </c>
    </row>
    <row r="7" spans="1:6" x14ac:dyDescent="0.25">
      <c r="A7" s="9" t="s">
        <v>44</v>
      </c>
      <c r="B7" s="10">
        <v>35000</v>
      </c>
      <c r="C7" s="10">
        <v>28000</v>
      </c>
      <c r="D7" s="9" t="s">
        <v>45</v>
      </c>
      <c r="E7" s="10">
        <v>82000</v>
      </c>
      <c r="F7" s="10">
        <v>76000</v>
      </c>
    </row>
    <row r="8" spans="1:6" x14ac:dyDescent="0.25">
      <c r="A8" s="9" t="s">
        <v>46</v>
      </c>
      <c r="B8" s="10">
        <v>15000</v>
      </c>
      <c r="C8" s="10">
        <v>12000</v>
      </c>
      <c r="D8" s="9" t="s">
        <v>47</v>
      </c>
      <c r="E8" s="10">
        <v>28000</v>
      </c>
      <c r="F8" s="10">
        <v>24000</v>
      </c>
    </row>
    <row r="9" spans="1:6" x14ac:dyDescent="0.25">
      <c r="A9" s="11" t="s">
        <v>48</v>
      </c>
      <c r="B9" s="5">
        <f>SUM(B4:B8)</f>
        <v>1610000</v>
      </c>
      <c r="C9" s="5">
        <f>SUM(C4:C8)</f>
        <v>1400000</v>
      </c>
      <c r="D9" s="13" t="s">
        <v>49</v>
      </c>
      <c r="E9" s="5">
        <f>SUM(E4:E8)</f>
        <v>665000</v>
      </c>
      <c r="F9" s="14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50</v>
      </c>
      <c r="B11" s="10"/>
      <c r="C11" s="10"/>
      <c r="D11" s="9" t="s">
        <v>51</v>
      </c>
      <c r="E11" s="10"/>
      <c r="F11" s="10"/>
    </row>
    <row r="12" spans="1:6" x14ac:dyDescent="0.25">
      <c r="A12" s="9" t="s">
        <v>52</v>
      </c>
      <c r="B12" s="10">
        <v>1200000</v>
      </c>
      <c r="C12" s="10">
        <v>1350000</v>
      </c>
      <c r="D12" s="9" t="s">
        <v>53</v>
      </c>
      <c r="E12" s="10">
        <v>500000</v>
      </c>
      <c r="F12" s="10">
        <v>600000</v>
      </c>
    </row>
    <row r="13" spans="1:6" x14ac:dyDescent="0.25">
      <c r="A13" s="9" t="s">
        <v>54</v>
      </c>
      <c r="B13" s="10">
        <v>180000</v>
      </c>
      <c r="C13" s="10">
        <v>200000</v>
      </c>
      <c r="D13" s="9" t="s">
        <v>55</v>
      </c>
      <c r="E13" s="10">
        <v>80000</v>
      </c>
      <c r="F13" s="10">
        <v>90000</v>
      </c>
    </row>
    <row r="14" spans="1:6" x14ac:dyDescent="0.25">
      <c r="A14" s="11" t="s">
        <v>56</v>
      </c>
      <c r="B14" s="5">
        <f>SUM(B11:B13)</f>
        <v>1380000</v>
      </c>
      <c r="C14" s="5">
        <f>SUM(C11:C13)</f>
        <v>1550000</v>
      </c>
      <c r="D14" s="13"/>
      <c r="E14" s="5">
        <f>SUM(E11:E12)</f>
        <v>500000</v>
      </c>
      <c r="F14" s="14">
        <f>SUM(F11:F12)</f>
        <v>600000</v>
      </c>
    </row>
    <row r="15" spans="1:6" x14ac:dyDescent="0.25">
      <c r="A15" s="9" t="s">
        <v>57</v>
      </c>
      <c r="B15" s="10"/>
      <c r="C15" s="10"/>
      <c r="D15" s="9" t="s">
        <v>58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59</v>
      </c>
      <c r="E17" s="10"/>
      <c r="F17" s="10"/>
    </row>
    <row r="18" spans="1:6" x14ac:dyDescent="0.25">
      <c r="A18" s="9"/>
      <c r="B18" s="10"/>
      <c r="C18" s="10"/>
      <c r="D18" s="9" t="s">
        <v>60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61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62</v>
      </c>
      <c r="E20" s="3">
        <f>SUM(E17:E19)</f>
        <v>1000000</v>
      </c>
      <c r="F20" s="3">
        <f>SUM(F17:F19)</f>
        <v>1000000</v>
      </c>
    </row>
    <row r="21" spans="1:6" x14ac:dyDescent="0.25">
      <c r="A21" s="11"/>
      <c r="B21" s="5">
        <f>B9+B14</f>
        <v>2990000</v>
      </c>
      <c r="C21" s="5">
        <f>C9+C14</f>
        <v>2950000</v>
      </c>
      <c r="D21" s="13" t="s">
        <v>63</v>
      </c>
      <c r="E21" s="5">
        <f>E9+E14+E20</f>
        <v>2165000</v>
      </c>
      <c r="F21" s="14">
        <f>F9+F14+F20</f>
        <v>2158000</v>
      </c>
    </row>
    <row r="22" spans="1:6" x14ac:dyDescent="0.25">
      <c r="A22" s="9" t="s">
        <v>64</v>
      </c>
      <c r="B22" s="9"/>
      <c r="C22" s="9"/>
      <c r="D22" s="9" t="s">
        <v>65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</vt:i4>
      </vt:variant>
    </vt:vector>
  </HeadingPairs>
  <TitlesOfParts>
    <vt:vector size="12" baseType="lpstr">
      <vt:lpstr>Sheet4</vt:lpstr>
      <vt:lpstr>Sheet3</vt:lpstr>
      <vt:lpstr>Sheet2</vt:lpstr>
      <vt:lpstr>Sheet1</vt:lpstr>
      <vt:lpstr>辅助表</vt:lpstr>
      <vt:lpstr>明细账</vt:lpstr>
      <vt:lpstr>DCF模型</vt:lpstr>
      <vt:lpstr>损益表</vt:lpstr>
      <vt:lpstr>资产负债表</vt:lpstr>
      <vt:lpstr>上期比较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2026-05-06T01:57:31Z</dcterms:modified>
</cp:coreProperties>
</file>