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107C5633-167C-4B1E-9D5A-654F3ACDF473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<sst xmlns="http://schemas.openxmlformats.org/spreadsheetml/2006/main" count="140" uniqueCount="104">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</sst>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>
        <f>SUMIF($D$2:$D$17,I3,$E$2:$E$17)</f>
        <v>526000</v>
      </c>
      <c r="K3">
        <f>SUMIF($D$2:$D$17,I3,$F$2:$F$17)</f>
        <v>105500</v>
      </c>
      <c r="L3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>
        <f>SUMIF($D$2:$D$17,I4,$E$2:$E$17)</f>
        <v>0</v>
      </c>
      <c r="K4">
        <f>SUMIF($D$2:$D$17,I4,$F$2:$F$17)</f>
        <v>236000</v>
      </c>
      <c r="L4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>
        <f>SUMIF($D$2:$D$17,I5,$E$2:$E$17)</f>
        <v>0</v>
      </c>
      <c r="K5">
        <f>SUMIF($D$2:$D$17,I5,$F$2:$F$17)</f>
        <v>50000</v>
      </c>
      <c r="L5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>
        <f>SUMIF($D$2:$D$17,I6,$E$2:$E$17)</f>
        <v>0</v>
      </c>
      <c r="K6">
        <f>SUMIF($D$2:$D$17,I6,$F$2:$F$17)</f>
        <v>205000</v>
      </c>
      <c r="L6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  <c r="I7" t="s">
        <v>90</v>
      </c>
      <c r="J7">
        <f>SUMIF($D$2:$D$17,I7,$E$2:$E$17)</f>
        <v>20500</v>
      </c>
      <c r="K7">
        <f>SUMIF($D$2:$D$17,I7,$F$2:$F$17)</f>
        <v>0</v>
      </c>
      <c r="L7">
        <f>J7-K7</f>
        <v>20500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  <c r="I8" t="s">
        <v>103</v>
      </c>
      <c r="J8">
        <f>SUM(J3:J7)</f>
        <v>546500</v>
      </c>
      <c r="K8">
        <f>SUM(K3:K7)</f>
        <v>596500</v>
      </c>
      <c r="L8">
        <f>SUM(L3:L7)</f>
        <v>-50000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2026-05-05T08:32:05Z</dcterms:modified>
</cp:coreProperties>
</file>