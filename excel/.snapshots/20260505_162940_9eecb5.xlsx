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8C6202AD-1411-4808-8483-45960108C57B}" xr6:coauthVersionLast="47" xr6:coauthVersionMax="47" xr10:uidLastSave="{00000000-0000-0000-0000-000000000000}"/>
  <bookViews>
    <workbookView xWindow="1100" yWindow="11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4" l="1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 s="1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 s="1"/>
  <c r="B12" i="3" s="1"/>
  <c r="D12" i="3" l="1"/>
  <c r="E12" i="3" s="1"/>
  <c r="F12" i="3" s="1"/>
  <c r="B13" i="3" s="1"/>
  <c r="F13" i="3" l="1"/>
  <c r="B14" i="3" s="1"/>
  <c r="D13" i="3"/>
  <c r="E13" i="3" s="1"/>
  <c r="D14" i="3" l="1"/>
  <c r="E14" i="3" s="1"/>
  <c r="F14" i="3" s="1"/>
  <c r="B15" i="3" s="1"/>
  <c r="F15" i="3" l="1"/>
  <c r="B16" i="3" s="1"/>
  <c r="D15" i="3"/>
  <c r="E15" i="3" s="1"/>
  <c r="F16" i="3" l="1"/>
  <c r="B17" i="3" s="1"/>
  <c r="D16" i="3"/>
  <c r="E16" i="3" s="1"/>
  <c r="F17" i="3" l="1"/>
  <c r="B18" i="3" s="1"/>
  <c r="D17" i="3"/>
  <c r="E17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<sst xmlns="http://schemas.openxmlformats.org/spreadsheetml/2006/main" count="140" uniqueCount="104">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</sst>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47F7-7BF6-4EA7-80E7-513BCE11A9FB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4706-8D11-4AA9-9176-ADD9BA0BCC7A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  <c r="I3" t="s">
        <v>1</v>
      </c>
      <c r="J3" s="22">
        <f>SUMIF($D$2:$D$17,I3,$E$2:$E$17)</f>
        <v>526000</v>
      </c>
      <c r="K3" s="22">
        <f>SUMIF($D$2:$D$17,I3,$F$2:$F$17)</f>
        <v>105500</v>
      </c>
      <c r="L3" s="22">
        <f>J3-K3</f>
        <v>420500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  <c r="I4" t="s">
        <v>84</v>
      </c>
      <c r="J4" s="22">
        <f>SUMIF($D$2:$D$17,I4,$E$2:$E$17)</f>
        <v>0</v>
      </c>
      <c r="K4" s="22">
        <f>SUMIF($D$2:$D$17,I4,$F$2:$F$17)</f>
        <v>236000</v>
      </c>
      <c r="L4" s="22">
        <f>J4-K4</f>
        <v>-236000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  <c r="I5" t="s">
        <v>80</v>
      </c>
      <c r="J5" s="22">
        <f>SUMIF($D$2:$D$17,I5,$E$2:$E$17)</f>
        <v>0</v>
      </c>
      <c r="K5" s="22">
        <f>SUMIF($D$2:$D$17,I5,$F$2:$F$17)</f>
        <v>50000</v>
      </c>
      <c r="L5" s="22">
        <f>J5-K5</f>
        <v>-50000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  <c r="I6" t="s">
        <v>86</v>
      </c>
      <c r="J6" s="22">
        <f>SUMIF($D$2:$D$17,I6,$E$2:$E$17)</f>
        <v>0</v>
      </c>
      <c r="K6" s="22">
        <f>SUMIF($D$2:$D$17,I6,$F$2:$F$17)</f>
        <v>205000</v>
      </c>
      <c r="L6" s="22">
        <f>J6-K6</f>
        <v>-205000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  <c r="I7" t="s">
        <v>90</v>
      </c>
      <c r="J7" s="22">
        <f>SUMIF($D$2:$D$17,I7,$E$2:$E$17)</f>
        <v>20500</v>
      </c>
      <c r="K7" s="22">
        <f>SUMIF($D$2:$D$17,I7,$F$2:$F$17)</f>
        <v>0</v>
      </c>
      <c r="L7" s="22">
        <f>J7-K7</f>
        <v>20500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  <c r="I8" t="s">
        <v>103</v>
      </c>
      <c r="J8" s="22">
        <f>SUM(J3:J7)</f>
        <v>546500</v>
      </c>
      <c r="K8" s="22">
        <f>SUM(K3:K7)</f>
        <v>596500</v>
      </c>
      <c r="L8" s="22">
        <f>SUM(L3:L7)</f>
        <v>-50000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C197B-2D9D-4EA3-BB2D-2241E64D966D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1EB35-D764-4785-80C2-36525A02C4CE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{B002CEF1-F91B-4B5E-BCE2-8F9D02702723}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02CEF1-F91B-4B5E-BCE2-8F9D02702723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2026-05-05T08:29:32Z</dcterms:created>
  <dcterms:modified xsi:type="dcterms:W3CDTF">2026-05-05T08:29:40Z</dcterms:modified>
</cp:coreProperties>
</file>