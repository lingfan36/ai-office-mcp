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6C2BB663-EA0E-482C-B079-067F66264EFA}" xr6:coauthVersionLast="47" xr6:coauthVersionMax="47" xr10:uidLastSave="{00000000-0000-0000-0000-000000000000}"/>
  <bookViews>
    <workbookView minimized="1" xWindow="6000" yWindow="336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4" l="1"/>
  <c r="H5" i="4"/>
  <c r="H4" i="4"/>
  <c r="H3" i="4"/>
  <c r="H2" i="4"/>
  <c r="J8" i="4"/>
  <c r="K8" i="4"/>
  <c r="L8" i="4"/>
  <c r="J7" i="4"/>
  <c r="L7" i="4" s="1"/>
  <c r="K7" i="4"/>
  <c r="J6" i="4"/>
  <c r="L6" i="4" s="1"/>
  <c r="K6" i="4"/>
  <c r="J5" i="4"/>
  <c r="L5" i="4" s="1"/>
  <c r="K5" i="4"/>
  <c r="J4" i="4"/>
  <c r="L4" i="4" s="1"/>
  <c r="K4" i="4"/>
  <c r="J3" i="4"/>
  <c r="L3" i="4" s="1"/>
  <c r="K3" i="4"/>
  <c r="I13" i="3"/>
  <c r="I12" i="3"/>
  <c r="B9" i="3"/>
  <c r="C9" i="3"/>
  <c r="D9" i="3"/>
  <c r="E9" i="3"/>
  <c r="F9" i="3"/>
  <c r="B10" i="3" s="1"/>
  <c r="C10" i="3"/>
  <c r="C11" i="3"/>
  <c r="C12" i="3"/>
  <c r="C13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0" i="3" l="1"/>
  <c r="E10" i="3" s="1"/>
  <c r="F10" i="3" s="1"/>
  <c r="B11" i="3" s="1"/>
  <c r="D11" i="3" l="1"/>
  <c r="E11" i="3" s="1"/>
  <c r="F11" i="3" s="1"/>
  <c r="B12" i="3" s="1"/>
  <c r="F12" i="3" l="1"/>
  <c r="B13" i="3" s="1"/>
  <c r="D12" i="3"/>
  <c r="E12" i="3" s="1"/>
  <c r="F13" i="3" l="1"/>
  <c r="B14" i="3" s="1"/>
  <c r="D13" i="3"/>
  <c r="E13" i="3" s="1"/>
  <c r="D14" i="3" l="1"/>
  <c r="E14" i="3" s="1"/>
  <c r="F14" i="3" s="1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/>
  <c r="B19" i="3" s="1"/>
  <c r="D19" i="3" l="1"/>
  <c r="E19" i="3" s="1"/>
  <c r="F19" i="3" s="1"/>
  <c r="B20" i="3" s="1"/>
  <c r="D20" i="3" l="1"/>
  <c r="E20" i="3" s="1"/>
  <c r="F20" i="3" s="1"/>
</calcChain>
</file>

<file path=xl/sharedStrings.xml><?xml version="1.0" encoding="utf-8"?>
<sst xmlns="http://schemas.openxmlformats.org/spreadsheetml/2006/main" count="164" uniqueCount="105">
  <si>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</si>
  <si>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</si>
  <si>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</si>
  <si>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</si>
  <si>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</si>
  <si>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</si>
  <si>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</si>
  <si>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</si>
  <si>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</si>
  <si>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</si>
  <si>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</si>
  <si>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</si>
  <si>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</si>
  <si>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</si>
  <si>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</si>
  <si>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</si>
  <si>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</si>
  <si>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</si>
  <si>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</si>
  <si>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</si>
  <si>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</si>
  <si>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</si>
  <si>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</si>
  <si>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</si>
  <si>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</si>
  <si>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</si>
  <si>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</si>
  <si>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</si>
  <si>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</si>
  <si>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</si>
  <si>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</si>
  <si>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</si>
  <si>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</si>
  <si>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</si>
  <si>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</si>
  <si>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</si>
  <si>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</si>
  <si>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</si>
  <si>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</si>
  <si>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</si>
  <si>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</si>
  <si>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</si>
  <si>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</si>
  <si>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</si>
  <si>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</si>
  <si>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</si>
  <si>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</si>
  <si>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</si>
  <si>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</si>
  <si>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</si>
  <si>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</si>
  <si>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</si>
  <si>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</si>
  <si>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</si>
  <si>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</si>
  <si>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</si>
  <si>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</si>
  <si>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</si>
  <si>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</si>
  <si>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</si>
  <si>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</si>
  <si>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</si>
  <si>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</si>
  <si>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</si>
  <si>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</si>
  <si>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</si>
  <si>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</si>
  <si>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</si>
  <si>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</si>
  <si>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</si>
  <si>
    <t>凭证日期</t>
  </si>
  <si>
    <t>科目代码</t>
  </si>
  <si>
    <t>科目名称</t>
  </si>
  <si>
    <t>科目类型</t>
  </si>
  <si>
    <t>借方金额</t>
  </si>
  <si>
    <t>贷方金额</t>
  </si>
  <si>
    <t>说明</t>
  </si>
  <si>
    <t>库存现金</t>
  </si>
  <si>
    <t>收到股东投资</t>
  </si>
  <si>
    <t>实收资本</t>
  </si>
  <si>
    <t>权益</t>
  </si>
  <si>
    <t>银行存款</t>
  </si>
  <si>
    <t>银行贷款到账</t>
  </si>
  <si>
    <t>短期借款</t>
  </si>
  <si>
    <t>负债</t>
  </si>
  <si>
    <t>主营业务收入</t>
  </si>
  <si>
    <t>收入</t>
  </si>
  <si>
    <t>销售产品A</t>
  </si>
  <si>
    <t>应收账款</t>
  </si>
  <si>
    <t>销售费用</t>
  </si>
  <si>
    <t>费用</t>
  </si>
  <si>
    <t>支付销售佣金</t>
  </si>
  <si>
    <t>原材料</t>
  </si>
  <si>
    <t>采购原材料</t>
  </si>
  <si>
    <t>应付账款</t>
  </si>
  <si>
    <t>管理费用</t>
  </si>
  <si>
    <t>支付办公费</t>
  </si>
  <si>
    <t>销售产品B</t>
  </si>
  <si>
    <t>收回应收账款</t>
  </si>
  <si>
    <t>科目类型汇总</t>
  </si>
  <si>
    <t>借方合计</t>
  </si>
  <si>
    <t>贷方合计</t>
  </si>
  <si>
    <t>净额</t>
  </si>
  <si>
    <t>合计</t>
  </si>
  <si>
    <t>VLOOKUP校验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</si>
</sst>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3" borderId="0" xfId="0" applyFont="1" applyFill="1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2" xfId="0" applyFont="1" applyBorder="1"/>
    <xf numFmtId="176" fontId="2" fillId="0" borderId="3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3" xfId="0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2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3" xfId="0" applyNumberFormat="1" applyFont="1" applyBorder="1" applyProtection="1"/>
    <xf numFmtId="0" fontId="2" fillId="0" borderId="3" xfId="0" applyFont="1" applyBorder="1" applyProtection="1"/>
    <xf numFmtId="176" fontId="2" fillId="0" borderId="5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3" xfId="0" applyNumberFormat="1" applyFont="1" applyBorder="1"/>
    <xf numFmtId="0" fontId="2" fillId="0" borderId="5" xfId="0" applyFont="1" applyBorder="1"/>
    <xf numFmtId="0" fontId="6" fillId="2" borderId="0" xfId="0" applyFont="1" applyFill="1" applyAlignment="1">
      <alignment horizontal="center"/>
    </xf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4" xfId="0" applyBorder="1"/>
    <xf numFmtId="4" fontId="0" fillId="0" borderId="4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0" fontId="2" fillId="5" borderId="1" xfId="0" applyFont="1" applyFill="1" applyBorder="1"/>
    <xf numFmtId="0" fontId="2" fillId="5" borderId="6" xfId="0" applyFont="1" applyFill="1" applyBorder="1"/>
    <xf numFmtId="3" fontId="2" fillId="5" borderId="7" xfId="0" applyNumberFormat="1" applyFont="1" applyFill="1" applyBorder="1"/>
    <xf numFmtId="10" fontId="2" fillId="5" borderId="8" xfId="0" applyNumberFormat="1" applyFont="1" applyFill="1" applyBorder="1"/>
    <xf numFmtId="0" fontId="4" fillId="3" borderId="4" xfId="0" applyFont="1" applyFill="1" applyBorder="1" applyAlignment="1">
      <alignment horizontal="center"/>
    </xf>
    <xf numFmtId="14" fontId="0" fillId="0" borderId="4" xfId="0" applyNumberFormat="1" applyBorder="1"/>
    <xf numFmtId="0" fontId="4" fillId="2" borderId="0" xfId="0" applyFont="1" applyFill="1" applyAlignment="1">
      <alignment horizontal="center"/>
    </xf>
    <xf numFmtId="4" fontId="2" fillId="0" borderId="3" xfId="0" applyNumberFormat="1" applyFont="1" applyBorder="1"/>
    <xf numFmtId="4" fontId="2" fillId="0" borderId="5" xfId="0" applyNumberFormat="1" applyFont="1" applyBorder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ED126-D545-47B3-943D-2E8A30AE5F2D}">
  <dimension ref="A1:C11"/>
  <sheetViews>
    <sheetView tabSelected="1" workbookViewId="0"/>
  </sheetViews>
  <sheetFormatPr defaultRowHeight="14" x14ac:dyDescent="0.25"/>
  <sheetData>
    <row r="1" spans="1:3" x14ac:dyDescent="0.25">
      <c r="A1" s="1" t="s">
        <v>71</v>
      </c>
      <c r="B1" s="1" t="s">
        <v>72</v>
      </c>
      <c r="C1" s="1" t="s">
        <v>73</v>
      </c>
    </row>
    <row r="2" spans="1:3" x14ac:dyDescent="0.25">
      <c r="A2">
        <v>1001</v>
      </c>
      <c r="B2" t="s">
        <v>77</v>
      </c>
      <c r="C2" t="s">
        <v>1</v>
      </c>
    </row>
    <row r="3" spans="1:3" x14ac:dyDescent="0.25">
      <c r="A3">
        <v>1002</v>
      </c>
      <c r="B3" t="s">
        <v>81</v>
      </c>
      <c r="C3" t="s">
        <v>1</v>
      </c>
    </row>
    <row r="4" spans="1:3" x14ac:dyDescent="0.25">
      <c r="A4">
        <v>1122</v>
      </c>
      <c r="B4" t="s">
        <v>88</v>
      </c>
      <c r="C4" t="s">
        <v>1</v>
      </c>
    </row>
    <row r="5" spans="1:3" x14ac:dyDescent="0.25">
      <c r="A5">
        <v>1401</v>
      </c>
      <c r="B5" t="s">
        <v>92</v>
      </c>
      <c r="C5" t="s">
        <v>1</v>
      </c>
    </row>
    <row r="6" spans="1:3" x14ac:dyDescent="0.25">
      <c r="A6">
        <v>2001</v>
      </c>
      <c r="B6" t="s">
        <v>83</v>
      </c>
      <c r="C6" t="s">
        <v>84</v>
      </c>
    </row>
    <row r="7" spans="1:3" x14ac:dyDescent="0.25">
      <c r="A7">
        <v>2202</v>
      </c>
      <c r="B7" t="s">
        <v>94</v>
      </c>
      <c r="C7" t="s">
        <v>84</v>
      </c>
    </row>
    <row r="8" spans="1:3" x14ac:dyDescent="0.25">
      <c r="A8">
        <v>4001</v>
      </c>
      <c r="B8" t="s">
        <v>79</v>
      </c>
      <c r="C8" t="s">
        <v>80</v>
      </c>
    </row>
    <row r="9" spans="1:3" x14ac:dyDescent="0.25">
      <c r="A9">
        <v>5001</v>
      </c>
      <c r="B9" t="s">
        <v>85</v>
      </c>
      <c r="C9" t="s">
        <v>86</v>
      </c>
    </row>
    <row r="10" spans="1:3" x14ac:dyDescent="0.25">
      <c r="A10">
        <v>5101</v>
      </c>
      <c r="B10" t="s">
        <v>95</v>
      </c>
      <c r="C10" t="s">
        <v>90</v>
      </c>
    </row>
    <row r="11" spans="1:3" x14ac:dyDescent="0.25">
      <c r="A11">
        <v>5401</v>
      </c>
      <c r="B11" t="s">
        <v>89</v>
      </c>
      <c r="C11" t="s">
        <v>90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65743-7119-4B87-A1BB-EDFB96EC6FD2}">
  <dimension ref="A1:L17"/>
  <sheetViews>
    <sheetView workbookViewId="0"/>
  </sheetViews>
  <sheetFormatPr defaultRowHeight="14" x14ac:dyDescent="0.25"/>
  <cols>
    <col min="5" max="6" width="11.36328125" bestFit="1" customWidth="1"/>
    <col min="10" max="11" width="11.36328125" bestFit="1" customWidth="1"/>
    <col min="12" max="12" width="12.453125" bestFit="1" customWidth="1"/>
  </cols>
  <sheetData>
    <row r="1" spans="1:12" x14ac:dyDescent="0.25">
      <c r="A1" s="35">
        <v>45662</v>
      </c>
      <c r="B1" s="26">
        <v>1001</v>
      </c>
      <c r="C1" s="26" t="s">
        <v>77</v>
      </c>
      <c r="D1" s="26" t="s">
        <v>1</v>
      </c>
      <c r="E1" s="27">
        <v>50000</v>
      </c>
      <c r="F1" s="27">
        <v>0</v>
      </c>
      <c r="G1" s="26" t="s">
        <v>78</v>
      </c>
      <c r="H1" t="s">
        <v>104</v>
      </c>
      <c r="I1" s="36" t="s">
        <v>99</v>
      </c>
      <c r="J1" s="36"/>
      <c r="K1" s="36"/>
      <c r="L1" s="36"/>
    </row>
    <row r="2" spans="1:12" x14ac:dyDescent="0.25">
      <c r="A2" s="35">
        <v>45662</v>
      </c>
      <c r="B2" s="26">
        <v>4001</v>
      </c>
      <c r="C2" s="26" t="s">
        <v>79</v>
      </c>
      <c r="D2" s="26" t="s">
        <v>80</v>
      </c>
      <c r="E2" s="27">
        <v>0</v>
      </c>
      <c r="F2" s="27">
        <v>50000</v>
      </c>
      <c r="G2" s="26" t="s">
        <v>78</v>
      </c>
      <c r="H2" t="str">
        <f>IF(VLOOKUP(B2,辅助表!$A:$C,2,0)=C2,"OK","科目名不符")</f>
        <v>OK</v>
      </c>
      <c r="I2" s="2" t="s">
        <v>73</v>
      </c>
      <c r="J2" s="2" t="s">
        <v>100</v>
      </c>
      <c r="K2" s="2" t="s">
        <v>101</v>
      </c>
      <c r="L2" s="2" t="s">
        <v>102</v>
      </c>
    </row>
    <row r="3" spans="1:12" x14ac:dyDescent="0.25">
      <c r="A3" s="35">
        <v>45667</v>
      </c>
      <c r="B3" s="26">
        <v>1002</v>
      </c>
      <c r="C3" s="26" t="s">
        <v>81</v>
      </c>
      <c r="D3" s="26" t="s">
        <v>1</v>
      </c>
      <c r="E3" s="27">
        <v>200000</v>
      </c>
      <c r="F3" s="27">
        <v>0</v>
      </c>
      <c r="G3" s="26" t="s">
        <v>82</v>
      </c>
      <c r="H3" t="str">
        <f>IF(VLOOKUP(B3,辅助表!$A:$C,2,0)=C3,"OK","科目名不符")</f>
        <v>OK</v>
      </c>
      <c r="I3" t="s">
        <v>1</v>
      </c>
      <c r="J3" s="23">
        <f>SUMIF($D$2:$D$17,I3,$E$2:$E$17)</f>
        <v>526000</v>
      </c>
      <c r="K3" s="23">
        <f>SUMIF($D$2:$D$17,I3,$F$2:$F$17)</f>
        <v>105500</v>
      </c>
      <c r="L3" s="23">
        <f>J3-K3</f>
        <v>420500</v>
      </c>
    </row>
    <row r="4" spans="1:12" x14ac:dyDescent="0.25">
      <c r="A4" s="35">
        <v>45667</v>
      </c>
      <c r="B4" s="26">
        <v>2001</v>
      </c>
      <c r="C4" s="26" t="s">
        <v>83</v>
      </c>
      <c r="D4" s="26" t="s">
        <v>84</v>
      </c>
      <c r="E4" s="27">
        <v>0</v>
      </c>
      <c r="F4" s="27">
        <v>200000</v>
      </c>
      <c r="G4" s="26" t="s">
        <v>82</v>
      </c>
      <c r="H4" t="str">
        <f>IF(VLOOKUP(B4,辅助表!$A:$C,2,0)=C4,"OK","科目名不符")</f>
        <v>OK</v>
      </c>
      <c r="I4" t="s">
        <v>84</v>
      </c>
      <c r="J4" s="23">
        <f>SUMIF($D$2:$D$17,I4,$E$2:$E$17)</f>
        <v>0</v>
      </c>
      <c r="K4" s="23">
        <f>SUMIF($D$2:$D$17,I4,$F$2:$F$17)</f>
        <v>236000</v>
      </c>
      <c r="L4" s="23">
        <f>J4-K4</f>
        <v>-236000</v>
      </c>
    </row>
    <row r="5" spans="1:12" x14ac:dyDescent="0.25">
      <c r="A5" s="35">
        <v>45672</v>
      </c>
      <c r="B5" s="26">
        <v>5001</v>
      </c>
      <c r="C5" s="26" t="s">
        <v>85</v>
      </c>
      <c r="D5" s="26" t="s">
        <v>86</v>
      </c>
      <c r="E5" s="27">
        <v>0</v>
      </c>
      <c r="F5" s="27">
        <v>85000</v>
      </c>
      <c r="G5" s="26" t="s">
        <v>87</v>
      </c>
      <c r="H5" t="str">
        <f>IF(VLOOKUP(B5,辅助表!$A:$C,2,0)=C5,"OK","科目名不符")</f>
        <v>OK</v>
      </c>
      <c r="I5" t="s">
        <v>80</v>
      </c>
      <c r="J5" s="23">
        <f>SUMIF($D$2:$D$17,I5,$E$2:$E$17)</f>
        <v>0</v>
      </c>
      <c r="K5" s="23">
        <f>SUMIF($D$2:$D$17,I5,$F$2:$F$17)</f>
        <v>50000</v>
      </c>
      <c r="L5" s="23">
        <f>J5-K5</f>
        <v>-50000</v>
      </c>
    </row>
    <row r="6" spans="1:12" x14ac:dyDescent="0.25">
      <c r="A6" s="35">
        <v>45672</v>
      </c>
      <c r="B6" s="26">
        <v>1122</v>
      </c>
      <c r="C6" s="26" t="s">
        <v>88</v>
      </c>
      <c r="D6" s="26" t="s">
        <v>1</v>
      </c>
      <c r="E6" s="27">
        <v>85000</v>
      </c>
      <c r="F6" s="27">
        <v>0</v>
      </c>
      <c r="G6" s="26" t="s">
        <v>87</v>
      </c>
      <c r="H6" t="str">
        <f>IF(VLOOKUP(B6,辅助表!$A:$C,2,0)=C6,"OK","科目名不符")</f>
        <v>OK</v>
      </c>
      <c r="I6" t="s">
        <v>86</v>
      </c>
      <c r="J6" s="23">
        <f>SUMIF($D$2:$D$17,I6,$E$2:$E$17)</f>
        <v>0</v>
      </c>
      <c r="K6" s="23">
        <f>SUMIF($D$2:$D$17,I6,$F$2:$F$17)</f>
        <v>205000</v>
      </c>
      <c r="L6" s="23">
        <f>J6-K6</f>
        <v>-205000</v>
      </c>
    </row>
    <row r="7" spans="1:12" x14ac:dyDescent="0.25">
      <c r="A7" s="35">
        <v>45677</v>
      </c>
      <c r="B7" s="26">
        <v>5401</v>
      </c>
      <c r="C7" s="26" t="s">
        <v>89</v>
      </c>
      <c r="D7" s="26" t="s">
        <v>90</v>
      </c>
      <c r="E7" s="27">
        <v>12000</v>
      </c>
      <c r="F7" s="27">
        <v>0</v>
      </c>
      <c r="G7" s="26" t="s">
        <v>91</v>
      </c>
      <c r="I7" t="s">
        <v>90</v>
      </c>
      <c r="J7" s="23">
        <f>SUMIF($D$2:$D$17,I7,$E$2:$E$17)</f>
        <v>20500</v>
      </c>
      <c r="K7" s="23">
        <f>SUMIF($D$2:$D$17,I7,$F$2:$F$17)</f>
        <v>0</v>
      </c>
      <c r="L7" s="23">
        <f>J7-K7</f>
        <v>20500</v>
      </c>
    </row>
    <row r="8" spans="1:12" x14ac:dyDescent="0.25">
      <c r="A8" s="35">
        <v>45677</v>
      </c>
      <c r="B8" s="26">
        <v>1002</v>
      </c>
      <c r="C8" s="26" t="s">
        <v>81</v>
      </c>
      <c r="D8" s="26" t="s">
        <v>1</v>
      </c>
      <c r="E8" s="27">
        <v>0</v>
      </c>
      <c r="F8" s="27">
        <v>12000</v>
      </c>
      <c r="G8" s="26" t="s">
        <v>91</v>
      </c>
      <c r="I8" s="4" t="s">
        <v>103</v>
      </c>
      <c r="J8" s="37">
        <f>SUM(J3:J7)</f>
        <v>546500</v>
      </c>
      <c r="K8" s="37">
        <f>SUM(K3:K7)</f>
        <v>596500</v>
      </c>
      <c r="L8" s="38">
        <f>SUM(L3:L7)</f>
        <v>-50000</v>
      </c>
    </row>
    <row r="9" spans="1:12" x14ac:dyDescent="0.25">
      <c r="A9" s="35">
        <v>45691</v>
      </c>
      <c r="B9" s="26">
        <v>1401</v>
      </c>
      <c r="C9" s="26" t="s">
        <v>92</v>
      </c>
      <c r="D9" s="26" t="s">
        <v>1</v>
      </c>
      <c r="E9" s="27">
        <v>36000</v>
      </c>
      <c r="F9" s="27">
        <v>0</v>
      </c>
      <c r="G9" s="26" t="s">
        <v>93</v>
      </c>
    </row>
    <row r="10" spans="1:12" x14ac:dyDescent="0.25">
      <c r="A10" s="35">
        <v>45691</v>
      </c>
      <c r="B10" s="26">
        <v>2202</v>
      </c>
      <c r="C10" s="26" t="s">
        <v>94</v>
      </c>
      <c r="D10" s="26" t="s">
        <v>84</v>
      </c>
      <c r="E10" s="27">
        <v>0</v>
      </c>
      <c r="F10" s="27">
        <v>36000</v>
      </c>
      <c r="G10" s="26" t="s">
        <v>93</v>
      </c>
    </row>
    <row r="11" spans="1:12" x14ac:dyDescent="0.25">
      <c r="A11" s="35">
        <v>45698</v>
      </c>
      <c r="B11" s="26">
        <v>5101</v>
      </c>
      <c r="C11" s="26" t="s">
        <v>95</v>
      </c>
      <c r="D11" s="26" t="s">
        <v>90</v>
      </c>
      <c r="E11" s="27">
        <v>8500</v>
      </c>
      <c r="F11" s="27">
        <v>0</v>
      </c>
      <c r="G11" s="26" t="s">
        <v>96</v>
      </c>
    </row>
    <row r="12" spans="1:12" x14ac:dyDescent="0.25">
      <c r="A12" s="35">
        <v>45698</v>
      </c>
      <c r="B12" s="26">
        <v>1002</v>
      </c>
      <c r="C12" s="26" t="s">
        <v>81</v>
      </c>
      <c r="D12" s="26" t="s">
        <v>1</v>
      </c>
      <c r="E12" s="27">
        <v>0</v>
      </c>
      <c r="F12" s="27">
        <v>8500</v>
      </c>
      <c r="G12" s="26" t="s">
        <v>96</v>
      </c>
    </row>
    <row r="13" spans="1:12" x14ac:dyDescent="0.25">
      <c r="A13" s="35">
        <v>45706</v>
      </c>
      <c r="B13" s="26">
        <v>5001</v>
      </c>
      <c r="C13" s="26" t="s">
        <v>85</v>
      </c>
      <c r="D13" s="26" t="s">
        <v>86</v>
      </c>
      <c r="E13" s="27">
        <v>0</v>
      </c>
      <c r="F13" s="27">
        <v>120000</v>
      </c>
      <c r="G13" s="26" t="s">
        <v>97</v>
      </c>
    </row>
    <row r="14" spans="1:12" x14ac:dyDescent="0.25">
      <c r="A14" s="35">
        <v>45706</v>
      </c>
      <c r="B14" s="26">
        <v>1122</v>
      </c>
      <c r="C14" s="26" t="s">
        <v>88</v>
      </c>
      <c r="D14" s="26" t="s">
        <v>1</v>
      </c>
      <c r="E14" s="27">
        <v>120000</v>
      </c>
      <c r="F14" s="27">
        <v>0</v>
      </c>
      <c r="G14" s="26" t="s">
        <v>97</v>
      </c>
    </row>
    <row r="15" spans="1:12" x14ac:dyDescent="0.25">
      <c r="A15" s="35">
        <v>45717</v>
      </c>
      <c r="B15" s="26">
        <v>1002</v>
      </c>
      <c r="C15" s="26" t="s">
        <v>81</v>
      </c>
      <c r="D15" s="26" t="s">
        <v>1</v>
      </c>
      <c r="E15" s="27">
        <v>85000</v>
      </c>
      <c r="F15" s="27">
        <v>0</v>
      </c>
      <c r="G15" s="26" t="s">
        <v>98</v>
      </c>
    </row>
    <row r="16" spans="1:12" x14ac:dyDescent="0.25">
      <c r="A16" s="35">
        <v>45717</v>
      </c>
      <c r="B16" s="26">
        <v>1122</v>
      </c>
      <c r="C16" s="26" t="s">
        <v>88</v>
      </c>
      <c r="D16" s="26" t="s">
        <v>1</v>
      </c>
      <c r="E16" s="27">
        <v>0</v>
      </c>
      <c r="F16" s="27">
        <v>85000</v>
      </c>
      <c r="G16" s="26" t="s">
        <v>98</v>
      </c>
    </row>
    <row r="17" spans="1:7" x14ac:dyDescent="0.25">
      <c r="A17" s="34" t="s">
        <v>70</v>
      </c>
      <c r="B17" s="34" t="s">
        <v>71</v>
      </c>
      <c r="C17" s="34" t="s">
        <v>72</v>
      </c>
      <c r="D17" s="34" t="s">
        <v>73</v>
      </c>
      <c r="E17" s="34" t="s">
        <v>74</v>
      </c>
      <c r="F17" s="34" t="s">
        <v>75</v>
      </c>
      <c r="G17" s="34" t="s">
        <v>76</v>
      </c>
    </row>
  </sheetData>
  <sortState xmlns:xlrd2="http://schemas.microsoft.com/office/spreadsheetml/2017/richdata2" ref="A1:G17">
    <sortCondition ref="A2"/>
  </sortState>
  <mergeCells count="1">
    <mergeCell ref="I1:L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CA3F6-0191-4625-B62E-D1D2AA042C95}">
  <sheetPr>
    <tabColor rgb="FF833C00"/>
  </sheetPr>
  <dimension ref="A1:N20"/>
  <sheetViews>
    <sheetView workbookViewId="0"/>
  </sheetViews>
  <sheetFormatPr defaultRowHeight="14" x14ac:dyDescent="0.25"/>
  <cols>
    <col min="1" max="1" width="9.6328125" bestFit="1" customWidth="1"/>
    <col min="2" max="2" width="13.5429687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  <col min="8" max="8" width="13.54296875" bestFit="1" customWidth="1"/>
    <col min="9" max="9" width="11.90625" bestFit="1" customWidth="1"/>
  </cols>
  <sheetData>
    <row r="1" spans="1:14" ht="16.5" x14ac:dyDescent="0.3">
      <c r="A1" s="22" t="s">
        <v>54</v>
      </c>
      <c r="B1" s="22"/>
      <c r="C1" s="22"/>
      <c r="D1" s="22"/>
      <c r="E1" s="22"/>
      <c r="F1" s="22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9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2" t="s">
        <v>66</v>
      </c>
      <c r="I5" s="2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2" t="s">
        <v>59</v>
      </c>
      <c r="B8" s="2" t="s">
        <v>3</v>
      </c>
      <c r="C8" s="2" t="s">
        <v>60</v>
      </c>
      <c r="D8" s="2" t="s">
        <v>61</v>
      </c>
      <c r="E8" s="2" t="s">
        <v>62</v>
      </c>
      <c r="F8" s="2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s="30" t="s">
        <v>68</v>
      </c>
      <c r="I12" s="3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s="31" t="s">
        <v>69</v>
      </c>
      <c r="I13" s="33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3620E-D29A-4961-973A-B42447E56654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8" t="s">
        <v>35</v>
      </c>
      <c r="B1" s="18" t="s">
        <v>36</v>
      </c>
      <c r="C1" s="18" t="s">
        <v>37</v>
      </c>
      <c r="D1" s="18" t="s">
        <v>38</v>
      </c>
      <c r="E1" s="18" t="s">
        <v>39</v>
      </c>
      <c r="F1" s="18" t="s">
        <v>40</v>
      </c>
    </row>
    <row r="2" spans="1:6" x14ac:dyDescent="0.25">
      <c r="A2" t="s">
        <v>41</v>
      </c>
      <c r="B2" s="3">
        <v>5200000</v>
      </c>
      <c r="C2" s="3">
        <v>5000000</v>
      </c>
      <c r="D2" s="3">
        <f>IF(AND(B2&lt;&gt;"",C2&lt;&gt;""),B2-C2,"")</f>
        <v>200000</v>
      </c>
      <c r="E2" s="19">
        <f>IF(AND(D2&lt;&gt;"",C2&lt;&gt;0),D2/C2,"")</f>
        <v>0.04</v>
      </c>
      <c r="F2">
        <v>4800000</v>
      </c>
    </row>
    <row r="3" spans="1:6" x14ac:dyDescent="0.25">
      <c r="A3" t="s">
        <v>42</v>
      </c>
      <c r="B3" s="3">
        <v>3120000</v>
      </c>
      <c r="C3" s="3">
        <v>3000000</v>
      </c>
      <c r="D3" s="3">
        <f>IF(AND(B3&lt;&gt;"",C3&lt;&gt;""),B3-C3,"")</f>
        <v>120000</v>
      </c>
      <c r="E3" s="19">
        <f>IF(AND(D3&lt;&gt;"",C3&lt;&gt;0),D3/C3,"")</f>
        <v>0.04</v>
      </c>
      <c r="F3">
        <v>2880000</v>
      </c>
    </row>
    <row r="4" spans="1:6" x14ac:dyDescent="0.25">
      <c r="A4" s="4" t="s">
        <v>43</v>
      </c>
      <c r="B4" s="5">
        <f>B2-B3</f>
        <v>2080000</v>
      </c>
      <c r="C4" s="5">
        <f>C2-C3</f>
        <v>2000000</v>
      </c>
      <c r="D4" s="5">
        <f>IF(AND(B4&lt;&gt;"",C4&lt;&gt;""),B4-C4,"")</f>
        <v>80000</v>
      </c>
      <c r="E4" s="20">
        <f>IF(AND(D4&lt;&gt;"",C4&lt;&gt;0),D4/C4,"")</f>
        <v>0.04</v>
      </c>
      <c r="F4" s="21">
        <f>F2-F3</f>
        <v>1920000</v>
      </c>
    </row>
    <row r="5" spans="1:6" x14ac:dyDescent="0.25">
      <c r="A5" t="s">
        <v>44</v>
      </c>
      <c r="B5" s="19">
        <f>IF(B2=0,0,B4/B2)</f>
        <v>0.4</v>
      </c>
      <c r="C5" s="19">
        <f>IF(C2=0,0,C4/C2)</f>
        <v>0.4</v>
      </c>
      <c r="D5" s="19">
        <f>IF(AND(B5&lt;&gt;"",C5&lt;&gt;""),B5-C5,"")</f>
        <v>0</v>
      </c>
      <c r="E5" s="19">
        <f>IF(AND(D5&lt;&gt;"",C5&lt;&gt;0),D5/C5,"")</f>
        <v>0</v>
      </c>
      <c r="F5" s="19">
        <f>IF(F2=0,0,F4/F2)</f>
        <v>0.4</v>
      </c>
    </row>
    <row r="6" spans="1:6" x14ac:dyDescent="0.25">
      <c r="A6" t="s">
        <v>45</v>
      </c>
      <c r="B6" s="3">
        <v>520000</v>
      </c>
      <c r="C6" s="3">
        <v>480000</v>
      </c>
      <c r="D6" s="3">
        <f>IF(AND(B6&lt;&gt;"",C6&lt;&gt;""),B6-C6,"")</f>
        <v>40000</v>
      </c>
      <c r="E6" s="19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3">
        <v>380000</v>
      </c>
      <c r="C7" s="3">
        <v>360000</v>
      </c>
      <c r="D7" s="3">
        <f>IF(AND(B7&lt;&gt;"",C7&lt;&gt;""),B7-C7,"")</f>
        <v>20000</v>
      </c>
      <c r="E7" s="19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3">
        <v>210000</v>
      </c>
      <c r="C8" s="3">
        <v>200000</v>
      </c>
      <c r="D8" s="3">
        <f>IF(AND(B8&lt;&gt;"",C8&lt;&gt;""),B8-C8,"")</f>
        <v>10000</v>
      </c>
      <c r="E8" s="19">
        <f>IF(AND(D8&lt;&gt;"",C8&lt;&gt;0),D8/C8,"")</f>
        <v>0.05</v>
      </c>
      <c r="F8">
        <v>180000</v>
      </c>
    </row>
    <row r="9" spans="1:6" x14ac:dyDescent="0.25">
      <c r="A9" s="4" t="s">
        <v>48</v>
      </c>
      <c r="B9" s="5">
        <f>B4-B6-B7-B8</f>
        <v>970000</v>
      </c>
      <c r="C9" s="5">
        <f>C4-C6-C7-C8</f>
        <v>960000</v>
      </c>
      <c r="D9" s="5">
        <f>IF(AND(B9&lt;&gt;"",C9&lt;&gt;""),B9-C9,"")</f>
        <v>10000</v>
      </c>
      <c r="E9" s="20">
        <f>IF(AND(D9&lt;&gt;"",C9&lt;&gt;0),D9/C9,"")</f>
        <v>1.0416666666666666E-2</v>
      </c>
      <c r="F9" s="21">
        <f>F4-F6-F7-F8</f>
        <v>950000</v>
      </c>
    </row>
    <row r="10" spans="1:6" x14ac:dyDescent="0.25">
      <c r="A10" t="s">
        <v>49</v>
      </c>
      <c r="B10" s="3">
        <v>45000</v>
      </c>
      <c r="C10" s="3">
        <v>42000</v>
      </c>
      <c r="D10" s="3">
        <f>IF(AND(B10&lt;&gt;"",C10&lt;&gt;""),B10-C10,"")</f>
        <v>3000</v>
      </c>
      <c r="E10" s="19">
        <f>IF(AND(D10&lt;&gt;"",C10&lt;&gt;0),D10/C10,"")</f>
        <v>7.1428571428571425E-2</v>
      </c>
      <c r="F10">
        <v>40000</v>
      </c>
    </row>
    <row r="11" spans="1:6" x14ac:dyDescent="0.25">
      <c r="A11" s="4" t="s">
        <v>50</v>
      </c>
      <c r="B11" s="5">
        <f>B9-B10</f>
        <v>925000</v>
      </c>
      <c r="C11" s="5">
        <f>C9-C10</f>
        <v>918000</v>
      </c>
      <c r="D11" s="5">
        <f>IF(AND(B11&lt;&gt;"",C11&lt;&gt;""),B11-C11,"")</f>
        <v>7000</v>
      </c>
      <c r="E11" s="20">
        <f>IF(AND(D11&lt;&gt;"",C11&lt;&gt;0),D11/C11,"")</f>
        <v>7.6252723311546842E-3</v>
      </c>
      <c r="F11" s="21">
        <f>F9-F10</f>
        <v>910000</v>
      </c>
    </row>
    <row r="12" spans="1:6" x14ac:dyDescent="0.25">
      <c r="A12" t="s">
        <v>51</v>
      </c>
      <c r="B12" s="3">
        <f>B11*0.25</f>
        <v>231250</v>
      </c>
      <c r="C12" s="3">
        <f>C11*0.25</f>
        <v>229500</v>
      </c>
      <c r="D12" s="3">
        <f>IF(AND(B12&lt;&gt;"",C12&lt;&gt;""),B12-C12,"")</f>
        <v>1750</v>
      </c>
      <c r="E12" s="19">
        <f>IF(AND(D12&lt;&gt;"",C12&lt;&gt;0),D12/C12,"")</f>
        <v>7.6252723311546842E-3</v>
      </c>
      <c r="F12">
        <f>F11*0.25</f>
        <v>227500</v>
      </c>
    </row>
    <row r="13" spans="1:6" x14ac:dyDescent="0.25">
      <c r="A13" s="4" t="s">
        <v>52</v>
      </c>
      <c r="B13" s="5">
        <f>B11-B12</f>
        <v>693750</v>
      </c>
      <c r="C13" s="5">
        <f>C11-C12</f>
        <v>688500</v>
      </c>
      <c r="D13" s="5">
        <f>IF(AND(B13&lt;&gt;"",C13&lt;&gt;""),B13-C13,"")</f>
        <v>5250</v>
      </c>
      <c r="E13" s="20">
        <f>IF(AND(D13&lt;&gt;"",C13&lt;&gt;0),D13/C13,"")</f>
        <v>7.6252723311546842E-3</v>
      </c>
      <c r="F13" s="21">
        <f>F11-F12</f>
        <v>682500</v>
      </c>
    </row>
    <row r="14" spans="1:6" x14ac:dyDescent="0.25">
      <c r="A14" t="s">
        <v>53</v>
      </c>
      <c r="B14" s="19">
        <f>IF(B2=0,0,B13/B2)</f>
        <v>0.13341346153846154</v>
      </c>
      <c r="C14" s="19">
        <f>IF(C2=0,0,C13/C2)</f>
        <v>0.13769999999999999</v>
      </c>
      <c r="D14" s="19">
        <f>IF(AND(B14&lt;&gt;"",C14&lt;&gt;""),B14-C14,"")</f>
        <v>-4.2865384615384527E-3</v>
      </c>
      <c r="E14" s="19">
        <f>IF(AND(D14&lt;&gt;"",C14&lt;&gt;0),D14/C14,"")</f>
        <v>-3.1129545835428128E-2</v>
      </c>
      <c r="F14" s="19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{A47FC66A-C443-4ACF-9259-49384908C0BB}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47FC66A-C443-4ACF-9259-49384908C0B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6" t="s">
        <v>0</v>
      </c>
      <c r="B1" s="6"/>
      <c r="C1" s="6"/>
      <c r="D1" s="6"/>
      <c r="E1" s="6"/>
      <c r="F1" s="6"/>
    </row>
    <row r="2" spans="1:6" x14ac:dyDescent="0.25">
      <c r="A2" s="7" t="s">
        <v>1</v>
      </c>
      <c r="B2" s="8" t="s">
        <v>2</v>
      </c>
      <c r="C2" s="8" t="s">
        <v>3</v>
      </c>
      <c r="D2" s="8" t="s">
        <v>4</v>
      </c>
      <c r="E2" s="8" t="s">
        <v>2</v>
      </c>
      <c r="F2" s="9" t="s">
        <v>3</v>
      </c>
    </row>
    <row r="3" spans="1:6" x14ac:dyDescent="0.25">
      <c r="A3" s="10" t="s">
        <v>5</v>
      </c>
      <c r="B3" s="11"/>
      <c r="C3" s="11"/>
      <c r="D3" s="10" t="s">
        <v>6</v>
      </c>
      <c r="E3" s="11"/>
      <c r="F3" s="11"/>
    </row>
    <row r="4" spans="1:6" x14ac:dyDescent="0.25">
      <c r="A4" s="10" t="s">
        <v>7</v>
      </c>
      <c r="B4" s="11">
        <v>850000</v>
      </c>
      <c r="C4" s="11">
        <v>720000</v>
      </c>
      <c r="D4" s="10" t="s">
        <v>8</v>
      </c>
      <c r="E4" s="11">
        <v>200000</v>
      </c>
      <c r="F4" s="11">
        <v>150000</v>
      </c>
    </row>
    <row r="5" spans="1:6" x14ac:dyDescent="0.25">
      <c r="A5" s="10" t="s">
        <v>9</v>
      </c>
      <c r="B5" s="11">
        <v>430000</v>
      </c>
      <c r="C5" s="11">
        <v>380000</v>
      </c>
      <c r="D5" s="10" t="s">
        <v>10</v>
      </c>
      <c r="E5" s="11">
        <v>310000</v>
      </c>
      <c r="F5" s="11">
        <v>270000</v>
      </c>
    </row>
    <row r="6" spans="1:6" x14ac:dyDescent="0.25">
      <c r="A6" s="10" t="s">
        <v>11</v>
      </c>
      <c r="B6" s="11">
        <v>280000</v>
      </c>
      <c r="C6" s="11">
        <v>260000</v>
      </c>
      <c r="D6" s="10" t="s">
        <v>12</v>
      </c>
      <c r="E6" s="11">
        <v>45000</v>
      </c>
      <c r="F6" s="11">
        <v>38000</v>
      </c>
    </row>
    <row r="7" spans="1:6" x14ac:dyDescent="0.25">
      <c r="A7" s="10" t="s">
        <v>13</v>
      </c>
      <c r="B7" s="11">
        <v>35000</v>
      </c>
      <c r="C7" s="11">
        <v>28000</v>
      </c>
      <c r="D7" s="10" t="s">
        <v>14</v>
      </c>
      <c r="E7" s="11">
        <v>82000</v>
      </c>
      <c r="F7" s="11">
        <v>76000</v>
      </c>
    </row>
    <row r="8" spans="1:6" x14ac:dyDescent="0.25">
      <c r="A8" s="10" t="s">
        <v>15</v>
      </c>
      <c r="B8" s="11">
        <v>15000</v>
      </c>
      <c r="C8" s="11">
        <v>12000</v>
      </c>
      <c r="D8" s="10" t="s">
        <v>16</v>
      </c>
      <c r="E8" s="11">
        <v>28000</v>
      </c>
      <c r="F8" s="11">
        <v>24000</v>
      </c>
    </row>
    <row r="9" spans="1:6" x14ac:dyDescent="0.25">
      <c r="A9" s="12" t="s">
        <v>17</v>
      </c>
      <c r="B9" s="14">
        <f>SUM(B4:B8)</f>
        <v>1610000</v>
      </c>
      <c r="C9" s="14">
        <f>SUM(C4:C8)</f>
        <v>1400000</v>
      </c>
      <c r="D9" s="15" t="s">
        <v>18</v>
      </c>
      <c r="E9" s="14">
        <f>SUM(E4:E8)</f>
        <v>665000</v>
      </c>
      <c r="F9" s="16">
        <f>SUM(F4:F8)</f>
        <v>558000</v>
      </c>
    </row>
    <row r="10" spans="1:6" x14ac:dyDescent="0.25">
      <c r="A10" s="10"/>
      <c r="B10" s="11"/>
      <c r="C10" s="11"/>
      <c r="D10" s="10"/>
      <c r="E10" s="11"/>
      <c r="F10" s="11"/>
    </row>
    <row r="11" spans="1:6" x14ac:dyDescent="0.25">
      <c r="A11" s="10" t="s">
        <v>19</v>
      </c>
      <c r="B11" s="11"/>
      <c r="C11" s="11"/>
      <c r="D11" s="10" t="s">
        <v>20</v>
      </c>
      <c r="E11" s="11"/>
      <c r="F11" s="11"/>
    </row>
    <row r="12" spans="1:6" x14ac:dyDescent="0.25">
      <c r="A12" s="10" t="s">
        <v>21</v>
      </c>
      <c r="B12" s="11">
        <v>1200000</v>
      </c>
      <c r="C12" s="11">
        <v>1350000</v>
      </c>
      <c r="D12" s="10" t="s">
        <v>22</v>
      </c>
      <c r="E12" s="11">
        <v>500000</v>
      </c>
      <c r="F12" s="11">
        <v>600000</v>
      </c>
    </row>
    <row r="13" spans="1:6" x14ac:dyDescent="0.25">
      <c r="A13" s="10" t="s">
        <v>23</v>
      </c>
      <c r="B13" s="11">
        <v>180000</v>
      </c>
      <c r="C13" s="11">
        <v>200000</v>
      </c>
      <c r="D13" s="10" t="s">
        <v>24</v>
      </c>
      <c r="E13" s="11">
        <v>80000</v>
      </c>
      <c r="F13" s="11">
        <v>90000</v>
      </c>
    </row>
    <row r="14" spans="1:6" x14ac:dyDescent="0.25">
      <c r="A14" s="12" t="s">
        <v>25</v>
      </c>
      <c r="B14" s="14">
        <f>SUM(B11:B13)</f>
        <v>1380000</v>
      </c>
      <c r="C14" s="14">
        <f>SUM(C11:C13)</f>
        <v>1550000</v>
      </c>
      <c r="D14" s="15"/>
      <c r="E14" s="14">
        <f>SUM(E11:E12)</f>
        <v>500000</v>
      </c>
      <c r="F14" s="16">
        <f>SUM(F11:F12)</f>
        <v>600000</v>
      </c>
    </row>
    <row r="15" spans="1:6" x14ac:dyDescent="0.25">
      <c r="A15" s="10" t="s">
        <v>26</v>
      </c>
      <c r="B15" s="11"/>
      <c r="C15" s="11"/>
      <c r="D15" s="10" t="s">
        <v>27</v>
      </c>
      <c r="E15" s="11"/>
      <c r="F15" s="11"/>
    </row>
    <row r="16" spans="1:6" x14ac:dyDescent="0.25">
      <c r="A16" s="10"/>
      <c r="B16" s="11"/>
      <c r="C16" s="11"/>
      <c r="D16" s="10"/>
      <c r="E16" s="11"/>
      <c r="F16" s="11"/>
    </row>
    <row r="17" spans="1:6" x14ac:dyDescent="0.25">
      <c r="A17" s="10"/>
      <c r="B17" s="11"/>
      <c r="C17" s="11"/>
      <c r="D17" s="10" t="s">
        <v>28</v>
      </c>
      <c r="E17" s="11"/>
      <c r="F17" s="11"/>
    </row>
    <row r="18" spans="1:6" x14ac:dyDescent="0.25">
      <c r="A18" s="10"/>
      <c r="B18" s="11"/>
      <c r="C18" s="11"/>
      <c r="D18" s="10" t="s">
        <v>29</v>
      </c>
      <c r="E18" s="11">
        <v>800000</v>
      </c>
      <c r="F18" s="11">
        <v>800000</v>
      </c>
    </row>
    <row r="19" spans="1:6" x14ac:dyDescent="0.25">
      <c r="A19" s="10"/>
      <c r="B19" s="11"/>
      <c r="C19" s="11"/>
      <c r="D19" s="10" t="s">
        <v>30</v>
      </c>
      <c r="E19" s="11">
        <v>200000</v>
      </c>
      <c r="F19" s="11">
        <v>200000</v>
      </c>
    </row>
    <row r="20" spans="1:6" x14ac:dyDescent="0.25">
      <c r="A20" s="10"/>
      <c r="B20" s="11"/>
      <c r="C20" s="11"/>
      <c r="D20" s="10" t="s">
        <v>31</v>
      </c>
      <c r="E20" s="17">
        <f>SUM(E17:E19)</f>
        <v>1000000</v>
      </c>
      <c r="F20" s="17">
        <f>SUM(F17:F19)</f>
        <v>1000000</v>
      </c>
    </row>
    <row r="21" spans="1:6" x14ac:dyDescent="0.25">
      <c r="A21" s="12"/>
      <c r="B21" s="14">
        <f>B9+B14</f>
        <v>2990000</v>
      </c>
      <c r="C21" s="14">
        <f>C9+C14</f>
        <v>2950000</v>
      </c>
      <c r="D21" s="15" t="s">
        <v>32</v>
      </c>
      <c r="E21" s="14">
        <f>E9+E14+E20</f>
        <v>2165000</v>
      </c>
      <c r="F21" s="16">
        <f>F9+F14+F20</f>
        <v>2158000</v>
      </c>
    </row>
    <row r="22" spans="1:6" x14ac:dyDescent="0.25">
      <c r="A22" s="10" t="s">
        <v>33</v>
      </c>
      <c r="B22" s="10"/>
      <c r="C22" s="10"/>
      <c r="D22" s="10" t="s">
        <v>34</v>
      </c>
      <c r="E22" s="10"/>
      <c r="F22" s="10"/>
    </row>
    <row r="23" spans="1:6" x14ac:dyDescent="0.25">
      <c r="A23" s="13" t="str">
        <f>IF(ABS(TotalAssets-TotalLiabEquity)&lt;1,"OK - 借贷平衡","ERR - 借贷不平衡")</f>
        <v>OK - 借贷平衡</v>
      </c>
      <c r="B23" s="13"/>
      <c r="C23" s="13"/>
      <c r="D23" s="10"/>
      <c r="E23" s="10"/>
      <c r="F23" s="10"/>
    </row>
    <row r="24" spans="1:6" x14ac:dyDescent="0.25">
      <c r="A24" s="10"/>
      <c r="B24" s="10"/>
      <c r="C24" s="10"/>
      <c r="D24" s="10"/>
      <c r="E24" s="10"/>
      <c r="F24" s="10"/>
    </row>
    <row r="25" spans="1:6" x14ac:dyDescent="0.25">
      <c r="A25" s="10"/>
      <c r="B25" s="10"/>
      <c r="C25" s="10"/>
      <c r="D25" s="10"/>
      <c r="E25" s="10"/>
      <c r="F25" s="10"/>
    </row>
    <row r="26" spans="1:6" x14ac:dyDescent="0.25">
      <c r="A26" s="10"/>
      <c r="B26" s="10"/>
      <c r="C26" s="10"/>
      <c r="D26" s="10"/>
      <c r="E26" s="10"/>
      <c r="F26" s="10"/>
    </row>
    <row r="27" spans="1:6" x14ac:dyDescent="0.25">
      <c r="A27" s="10"/>
      <c r="B27" s="10"/>
      <c r="C27" s="10"/>
      <c r="D27" s="10"/>
      <c r="E27" s="10"/>
      <c r="F27" s="10"/>
    </row>
    <row r="28" spans="1:6" x14ac:dyDescent="0.25">
      <c r="A28" s="10"/>
      <c r="B28" s="10"/>
      <c r="C28" s="10"/>
      <c r="D28" s="10"/>
      <c r="E28" s="10"/>
      <c r="F28" s="10"/>
    </row>
    <row r="29" spans="1:6" x14ac:dyDescent="0.25">
      <c r="A29" s="10"/>
      <c r="B29" s="10"/>
      <c r="C29" s="10"/>
      <c r="D29" s="10"/>
      <c r="E29" s="10"/>
      <c r="F29" s="10"/>
    </row>
    <row r="30" spans="1:6" x14ac:dyDescent="0.25">
      <c r="A30" s="10"/>
      <c r="B30" s="10"/>
      <c r="C30" s="10"/>
      <c r="D30" s="10"/>
      <c r="E30" s="10"/>
      <c r="F30" s="10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2026-05-06T01:39:37Z</dcterms:created>
  <dcterms:modified xsi:type="dcterms:W3CDTF">2026-05-06T01:39:43Z</dcterms:modified>
</cp:coreProperties>
</file>