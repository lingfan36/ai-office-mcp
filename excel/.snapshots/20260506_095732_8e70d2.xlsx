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090C3E86-AF4B-47DF-8FD5-AEA7EEED63E6}" xr6:coauthVersionLast="47" xr6:coauthVersionMax="47" xr10:uidLastSave="{00000000-0000-0000-0000-000000000000}"/>
  <bookViews>
    <workbookView xWindow="3310" yWindow="2480" windowWidth="19200" windowHeight="11170" xr2:uid="{00000000-000D-0000-FFFF-FFFF00000000}"/>
  </bookViews>
  <sheets>
    <sheet name="辅助表" sheetId="1" r:id="rId1"/>
    <sheet name="明细账" sheetId="2" r:id="rId2"/>
    <sheet name="DCF模型" sheetId="3" r:id="rId3"/>
    <sheet name="损益表" sheetId="4" r:id="rId4"/>
    <sheet name="资产负债表" sheetId="5" r:id="rId5"/>
    <sheet name="上期比较" sheetId="6" r:id="rId6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6" l="1"/>
  <c r="F20" i="6"/>
  <c r="F21" i="6" s="1"/>
  <c r="E20" i="6"/>
  <c r="E21" i="6" s="1"/>
  <c r="F14" i="6"/>
  <c r="E14" i="6"/>
  <c r="C14" i="6"/>
  <c r="B14" i="6"/>
  <c r="F9" i="6"/>
  <c r="E9" i="6"/>
  <c r="C9" i="6"/>
  <c r="C21" i="6" s="1"/>
  <c r="B9" i="6"/>
  <c r="B21" i="6" s="1"/>
  <c r="A23" i="5"/>
  <c r="F20" i="5"/>
  <c r="E20" i="5"/>
  <c r="F14" i="5"/>
  <c r="E14" i="5"/>
  <c r="C14" i="5"/>
  <c r="B14" i="5"/>
  <c r="F9" i="5"/>
  <c r="F21" i="5" s="1"/>
  <c r="E9" i="5"/>
  <c r="E21" i="5" s="1"/>
  <c r="C9" i="5"/>
  <c r="C21" i="5" s="1"/>
  <c r="B9" i="5"/>
  <c r="B21" i="5" s="1"/>
  <c r="D10" i="4"/>
  <c r="E10" i="4" s="1"/>
  <c r="D8" i="4"/>
  <c r="E8" i="4" s="1"/>
  <c r="D7" i="4"/>
  <c r="E7" i="4" s="1"/>
  <c r="D6" i="4"/>
  <c r="E6" i="4" s="1"/>
  <c r="F4" i="4"/>
  <c r="C4" i="4"/>
  <c r="B4" i="4"/>
  <c r="D3" i="4"/>
  <c r="E3" i="4" s="1"/>
  <c r="D2" i="4"/>
  <c r="E2" i="4" s="1"/>
  <c r="I13" i="3"/>
  <c r="I12" i="3"/>
  <c r="B9" i="3"/>
  <c r="B6" i="3"/>
  <c r="H17" i="2"/>
  <c r="H16" i="2"/>
  <c r="H15" i="2"/>
  <c r="H14" i="2"/>
  <c r="H13" i="2"/>
  <c r="H12" i="2"/>
  <c r="H11" i="2"/>
  <c r="H10" i="2"/>
  <c r="H8" i="2"/>
  <c r="K7" i="2"/>
  <c r="J7" i="2"/>
  <c r="L7" i="2" s="1"/>
  <c r="H7" i="2"/>
  <c r="K6" i="2"/>
  <c r="J6" i="2"/>
  <c r="H6" i="2"/>
  <c r="K5" i="2"/>
  <c r="J5" i="2"/>
  <c r="H5" i="2"/>
  <c r="K4" i="2"/>
  <c r="J4" i="2"/>
  <c r="L4" i="2" s="1"/>
  <c r="H4" i="2"/>
  <c r="K3" i="2"/>
  <c r="K8" i="2" s="1"/>
  <c r="J3" i="2"/>
  <c r="H3" i="2"/>
  <c r="H2" i="2"/>
  <c r="L6" i="2" l="1"/>
  <c r="L5" i="2"/>
  <c r="F9" i="4"/>
  <c r="F11" i="4" s="1"/>
  <c r="F5" i="4"/>
  <c r="C9" i="4"/>
  <c r="C11" i="4" s="1"/>
  <c r="C5" i="4"/>
  <c r="B9" i="4"/>
  <c r="D4" i="4"/>
  <c r="E4" i="4" s="1"/>
  <c r="B5" i="4"/>
  <c r="D5" i="4" s="1"/>
  <c r="E5" i="4" s="1"/>
  <c r="D9" i="3"/>
  <c r="C15" i="3"/>
  <c r="C20" i="3"/>
  <c r="C11" i="3"/>
  <c r="C14" i="3"/>
  <c r="C10" i="3"/>
  <c r="C9" i="3"/>
  <c r="E9" i="3" s="1"/>
  <c r="F9" i="3" s="1"/>
  <c r="B10" i="3" s="1"/>
  <c r="C18" i="3"/>
  <c r="C19" i="3"/>
  <c r="C17" i="3"/>
  <c r="C13" i="3"/>
  <c r="C12" i="3"/>
  <c r="C16" i="3"/>
  <c r="L3" i="2"/>
  <c r="J8" i="2"/>
  <c r="L8" i="2" l="1"/>
  <c r="F12" i="4"/>
  <c r="F13" i="4"/>
  <c r="C12" i="4"/>
  <c r="C13" i="4" s="1"/>
  <c r="C14" i="4" s="1"/>
  <c r="D9" i="4"/>
  <c r="E9" i="4" s="1"/>
  <c r="B11" i="4"/>
  <c r="D10" i="3"/>
  <c r="E10" i="3" s="1"/>
  <c r="F10" i="3" s="1"/>
  <c r="B11" i="3" s="1"/>
  <c r="D11" i="4" l="1"/>
  <c r="E11" i="4" s="1"/>
  <c r="B12" i="4"/>
  <c r="D11" i="3"/>
  <c r="E11" i="3" s="1"/>
  <c r="F11" i="3" s="1"/>
  <c r="B12" i="3" s="1"/>
  <c r="D12" i="4" l="1"/>
  <c r="E12" i="4" s="1"/>
  <c r="B13" i="4"/>
  <c r="B14" i="4"/>
  <c r="D14" i="4" s="1"/>
  <c r="E14" i="4" s="1"/>
  <c r="D13" i="4"/>
  <c r="E13" i="4" s="1"/>
  <c r="D12" i="3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<sst xmlns="http://schemas.openxmlformats.org/spreadsheetml/2006/main" count="202" uniqueCount="106">
  <si>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</si>
  <si>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</si>
  <si>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</si>
  <si>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</si>
  <si>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</si>
  <si>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</si>
  <si>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</si>
  <si>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</si>
  <si>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</si>
  <si>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</si>
  <si>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</si>
  <si>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</si>
  <si>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</si>
  <si>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</si>
  <si>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</si>
  <si>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</si>
  <si>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</si>
  <si>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</si>
  <si>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</si>
  <si>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</si>
  <si>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科目类型汇总</t>
  </si>
  <si>
    <t>借方合计</t>
  </si>
  <si>
    <t>贷方合计</t>
  </si>
  <si>
    <t>净额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</si>
  <si>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</si>
  <si>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</si>
  <si>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</si>
  <si>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</si>
  <si>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</si>
  <si>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</si>
  <si>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</si>
  <si>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</si>
  <si>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</si>
  <si>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</si>
  <si>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</si>
  <si>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</si>
  <si>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贷款摊还计划表</t>
  </si>
  <si>
    <t>项目DCF估值模型 (自由现金流)</t>
  </si>
  <si>
    <t>贷款金额</t>
  </si>
  <si>
    <t>折现率(WACC)</t>
  </si>
  <si>
    <t>年利率</t>
  </si>
  <si>
    <t>期初投资</t>
  </si>
  <si>
    <t>期数(月)</t>
  </si>
  <si>
    <t>年份</t>
  </si>
  <si>
    <t>自由现金流</t>
  </si>
  <si>
    <t>月还款额</t>
  </si>
  <si>
    <t>期数</t>
  </si>
  <si>
    <t>期初余额</t>
  </si>
  <si>
    <t>月还款</t>
  </si>
  <si>
    <t>利息</t>
  </si>
  <si>
    <t>本金</t>
  </si>
  <si>
    <t>期末余额</t>
  </si>
  <si>
    <t>NPV</t>
  </si>
  <si>
    <t>IRR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</si>
  <si>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</si>
  <si>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</si>
  <si>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</si>
  <si>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</si>
  <si>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</si>
  <si>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</si>
  <si>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</si>
  <si>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</si>
  <si>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</si>
  <si>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</si>
  <si>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</si>
  <si>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</si>
  <si>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</si>
  <si>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</si>
  <si>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</si>
  <si>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</si>
  <si>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</si>
  <si>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</si>
  <si>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</si>
  <si>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</si>
  <si>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</si>
  <si>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</si>
  <si>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</si>
  <si>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</si>
  <si>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</si>
  <si>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</si>
  <si>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</si>
  <si>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</si>
  <si>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</si>
  <si>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</si>
  <si>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</si>
  <si>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</si>
  <si>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</si>
  <si>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</si>
  <si>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</si>
  <si>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</si>
  <si>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</si>
  <si>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</si>
  <si>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</si>
  <si>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</si>
  <si>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</si>
  <si>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</si>
  <si>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</si>
  <si>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</si>
  <si>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</si>
  <si>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</si>
  <si>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</si>
  <si>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</si>
  <si>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</si>
  <si>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</si>
  <si>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</si>
  <si>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=IF(VLOOKUP(B9,辅助表!$A:$C,2,0)=C9,"OK","科目名不符")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</si>
</sst>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20</v>
      </c>
      <c r="J1" s="35"/>
      <c r="K1" s="35"/>
      <c r="L1" s="35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2</v>
      </c>
      <c r="J2" s="2" t="s">
        <v>21</v>
      </c>
      <c r="K2" s="2" t="s">
        <v>22</v>
      </c>
      <c r="L2" s="2" t="s">
        <v>23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24</v>
      </c>
      <c r="H3" s="33" t="str">
        <f>IF(VLOOKUP(B3,辅助表!$A:$C,2,0)=C3,"OK","科目名不符")</f>
        <v>OK</v>
      </c>
      <c r="I3" t="s">
        <v>4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24</v>
      </c>
      <c r="H4" s="33" t="str">
        <f>IF(VLOOKUP(B4,辅助表!$A:$C,2,0)=C4,"OK","科目名不符")</f>
        <v>OK</v>
      </c>
      <c r="I4" t="s">
        <v>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25</v>
      </c>
      <c r="H5" s="33" t="str">
        <f>IF(VLOOKUP(B5,辅助表!$A:$C,2,0)=C5,"OK","科目名不符")</f>
        <v>OK</v>
      </c>
      <c r="I5" t="s">
        <v>12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25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26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26</v>
      </c>
      <c r="H8" s="33" t="str">
        <f>IF(VLOOKUP(B8,辅助表!$A:$C,2,0)=C8,"OK","科目名不符")</f>
        <v>OK</v>
      </c>
      <c r="I8" s="4" t="s">
        <v>27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28</v>
      </c>
      <c r="H9" s="33" t="s">
        <v>105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28</v>
      </c>
      <c r="H10" s="33" t="str">
        <f>IF(VLOOKUP(B10,辅助表!$A:$C,2,0)=C10,"OK","科目名不符")</f>
        <v>OK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29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29</v>
      </c>
      <c r="H12" s="33" t="str">
        <f>IF(VLOOKUP(B12,辅助表!$A:$C,2,0)=C12,"OK","科目名不符")</f>
        <v>OK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30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30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31</v>
      </c>
      <c r="H15" s="33" t="str">
        <f>IF(VLOOKUP(B15,辅助表!$A:$C,2,0)=C15,"OK","科目名不符")</f>
        <v>OK</v>
      </c>
    </row>
    <row r="16" spans="1:12" x14ac:dyDescent="0.25">
      <c r="A16" s="30">
        <v>45717</v>
      </c>
      <c r="B16" s="22">
        <v>1122</v>
      </c>
      <c r="C16" s="22" t="s">
        <v>6</v>
      </c>
      <c r="D16" s="22" t="s">
        <v>4</v>
      </c>
      <c r="E16" s="23">
        <v>0</v>
      </c>
      <c r="F16" s="23">
        <v>85000</v>
      </c>
      <c r="G16" s="22" t="s">
        <v>31</v>
      </c>
      <c r="H16" s="33" t="str">
        <f>IF(VLOOKUP(B16,辅助表!$A:$C,2,0)=C16,"OK","科目名不符")</f>
        <v>OK</v>
      </c>
    </row>
    <row r="17" spans="1:8" x14ac:dyDescent="0.25">
      <c r="A17" s="29" t="s">
        <v>32</v>
      </c>
      <c r="B17" s="29" t="s">
        <v>0</v>
      </c>
      <c r="C17" s="29" t="s">
        <v>1</v>
      </c>
      <c r="D17" s="29" t="s">
        <v>2</v>
      </c>
      <c r="E17" s="29" t="s">
        <v>33</v>
      </c>
      <c r="F17" s="29" t="s">
        <v>34</v>
      </c>
      <c r="G17" s="29" t="s">
        <v>35</v>
      </c>
      <c r="H17" s="33" t="str">
        <f>IF(VLOOKUP(B17,辅助表!$A:$C,2,0)=C17,"OK","科目名不符")</f>
        <v>OK</v>
      </c>
    </row>
  </sheetData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6" t="s">
        <v>36</v>
      </c>
      <c r="B1" s="35"/>
      <c r="C1" s="35"/>
      <c r="D1" s="35"/>
      <c r="E1" s="35"/>
      <c r="F1" s="35"/>
      <c r="H1" s="37" t="s">
        <v>37</v>
      </c>
      <c r="I1" s="35"/>
      <c r="J1" s="35"/>
      <c r="K1" s="35"/>
      <c r="L1" s="35"/>
      <c r="M1" s="35"/>
      <c r="N1" s="35"/>
    </row>
    <row r="3" spans="1:14" x14ac:dyDescent="0.25">
      <c r="A3" t="s">
        <v>38</v>
      </c>
      <c r="B3" s="19">
        <v>1000000</v>
      </c>
      <c r="H3" t="s">
        <v>39</v>
      </c>
      <c r="I3" s="16">
        <v>0.1</v>
      </c>
    </row>
    <row r="4" spans="1:14" x14ac:dyDescent="0.25">
      <c r="A4" t="s">
        <v>40</v>
      </c>
      <c r="B4" s="19">
        <v>4.4999999999999998E-2</v>
      </c>
      <c r="H4" t="s">
        <v>41</v>
      </c>
      <c r="I4">
        <v>-500000</v>
      </c>
    </row>
    <row r="5" spans="1:14" x14ac:dyDescent="0.25">
      <c r="A5" t="s">
        <v>42</v>
      </c>
      <c r="B5" s="19">
        <v>60</v>
      </c>
      <c r="H5" s="2" t="s">
        <v>43</v>
      </c>
      <c r="I5" s="2" t="s">
        <v>44</v>
      </c>
    </row>
    <row r="6" spans="1:14" x14ac:dyDescent="0.25">
      <c r="A6" s="20" t="s">
        <v>45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 t="shared" ref="C9:C20" si="0">$B$6</f>
        <v>18643.019241516649</v>
      </c>
      <c r="D9" s="23">
        <f t="shared" ref="D9:D20" si="1">B9*$B$4/12</f>
        <v>3750</v>
      </c>
      <c r="E9" s="23">
        <f t="shared" ref="E9:E20" si="2">C9-D9</f>
        <v>14893.019241516649</v>
      </c>
      <c r="F9" s="23">
        <f t="shared" ref="F9:F20" si="3"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 t="shared" ref="B10:B20" si="4">F9</f>
        <v>985106.98075848341</v>
      </c>
      <c r="C10" s="23">
        <f t="shared" si="0"/>
        <v>18643.019241516649</v>
      </c>
      <c r="D10" s="23">
        <f t="shared" si="1"/>
        <v>3694.1511778443128</v>
      </c>
      <c r="E10" s="23">
        <f t="shared" si="2"/>
        <v>14948.868063672337</v>
      </c>
      <c r="F10" s="23">
        <f t="shared" si="3"/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 t="shared" si="4"/>
        <v>970158.11269481108</v>
      </c>
      <c r="C11" s="23">
        <f t="shared" si="0"/>
        <v>18643.019241516649</v>
      </c>
      <c r="D11" s="23">
        <f t="shared" si="1"/>
        <v>3638.0929226055414</v>
      </c>
      <c r="E11" s="23">
        <f t="shared" si="2"/>
        <v>15004.926318911108</v>
      </c>
      <c r="F11" s="23">
        <f t="shared" si="3"/>
        <v>955153.18637589994</v>
      </c>
    </row>
    <row r="12" spans="1:14" x14ac:dyDescent="0.25">
      <c r="A12" s="22">
        <v>4</v>
      </c>
      <c r="B12" s="23">
        <f t="shared" si="4"/>
        <v>955153.18637589994</v>
      </c>
      <c r="C12" s="23">
        <f t="shared" si="0"/>
        <v>18643.019241516649</v>
      </c>
      <c r="D12" s="23">
        <f t="shared" si="1"/>
        <v>3581.8244489096246</v>
      </c>
      <c r="E12" s="23">
        <f t="shared" si="2"/>
        <v>15061.194792607024</v>
      </c>
      <c r="F12" s="23">
        <f t="shared" si="3"/>
        <v>940091.99158329295</v>
      </c>
      <c r="H12" s="25" t="s">
        <v>52</v>
      </c>
      <c r="I12" s="27">
        <f>NPV(I3,I6:I10)+I4</f>
        <v>86794.245301177725</v>
      </c>
    </row>
    <row r="13" spans="1:14" x14ac:dyDescent="0.25">
      <c r="A13" s="22">
        <v>5</v>
      </c>
      <c r="B13" s="23">
        <f t="shared" si="4"/>
        <v>940091.99158329295</v>
      </c>
      <c r="C13" s="23">
        <f t="shared" si="0"/>
        <v>18643.019241516649</v>
      </c>
      <c r="D13" s="23">
        <f t="shared" si="1"/>
        <v>3525.3449684373486</v>
      </c>
      <c r="E13" s="23">
        <f t="shared" si="2"/>
        <v>15117.674273079301</v>
      </c>
      <c r="F13" s="23">
        <f t="shared" si="3"/>
        <v>924974.31731021369</v>
      </c>
      <c r="H13" s="26" t="s">
        <v>53</v>
      </c>
      <c r="I13" s="28">
        <f>IRR(I4:I10)</f>
        <v>0.15338761042527493</v>
      </c>
    </row>
    <row r="14" spans="1:14" x14ac:dyDescent="0.25">
      <c r="A14" s="22">
        <v>6</v>
      </c>
      <c r="B14" s="23">
        <f t="shared" si="4"/>
        <v>924974.31731021369</v>
      </c>
      <c r="C14" s="23">
        <f t="shared" si="0"/>
        <v>18643.019241516649</v>
      </c>
      <c r="D14" s="23">
        <f t="shared" si="1"/>
        <v>3468.6536899133012</v>
      </c>
      <c r="E14" s="23">
        <f t="shared" si="2"/>
        <v>15174.365551603349</v>
      </c>
      <c r="F14" s="23">
        <f t="shared" si="3"/>
        <v>909799.95175861032</v>
      </c>
    </row>
    <row r="15" spans="1:14" x14ac:dyDescent="0.25">
      <c r="A15" s="22">
        <v>7</v>
      </c>
      <c r="B15" s="23">
        <f t="shared" si="4"/>
        <v>909799.95175861032</v>
      </c>
      <c r="C15" s="23">
        <f t="shared" si="0"/>
        <v>18643.019241516649</v>
      </c>
      <c r="D15" s="23">
        <f t="shared" si="1"/>
        <v>3411.7498190947886</v>
      </c>
      <c r="E15" s="23">
        <f t="shared" si="2"/>
        <v>15231.269422421861</v>
      </c>
      <c r="F15" s="23">
        <f t="shared" si="3"/>
        <v>894568.6823361885</v>
      </c>
    </row>
    <row r="16" spans="1:14" x14ac:dyDescent="0.25">
      <c r="A16" s="22">
        <v>8</v>
      </c>
      <c r="B16" s="23">
        <f t="shared" si="4"/>
        <v>894568.6823361885</v>
      </c>
      <c r="C16" s="23">
        <f t="shared" si="0"/>
        <v>18643.019241516649</v>
      </c>
      <c r="D16" s="23">
        <f t="shared" si="1"/>
        <v>3354.6325587607066</v>
      </c>
      <c r="E16" s="23">
        <f t="shared" si="2"/>
        <v>15288.386682755943</v>
      </c>
      <c r="F16" s="23">
        <f t="shared" si="3"/>
        <v>879280.29565343261</v>
      </c>
    </row>
    <row r="17" spans="1:6" x14ac:dyDescent="0.25">
      <c r="A17" s="22">
        <v>9</v>
      </c>
      <c r="B17" s="23">
        <f t="shared" si="4"/>
        <v>879280.29565343261</v>
      </c>
      <c r="C17" s="23">
        <f t="shared" si="0"/>
        <v>18643.019241516649</v>
      </c>
      <c r="D17" s="23">
        <f t="shared" si="1"/>
        <v>3297.3011087003724</v>
      </c>
      <c r="E17" s="23">
        <f t="shared" si="2"/>
        <v>15345.718132816277</v>
      </c>
      <c r="F17" s="23">
        <f t="shared" si="3"/>
        <v>863934.57752061635</v>
      </c>
    </row>
    <row r="18" spans="1:6" x14ac:dyDescent="0.25">
      <c r="A18" s="22">
        <v>10</v>
      </c>
      <c r="B18" s="23">
        <f t="shared" si="4"/>
        <v>863934.57752061635</v>
      </c>
      <c r="C18" s="23">
        <f t="shared" si="0"/>
        <v>18643.019241516649</v>
      </c>
      <c r="D18" s="23">
        <f t="shared" si="1"/>
        <v>3239.7546657023108</v>
      </c>
      <c r="E18" s="23">
        <f t="shared" si="2"/>
        <v>15403.264575814339</v>
      </c>
      <c r="F18" s="23">
        <f t="shared" si="3"/>
        <v>848531.31294480199</v>
      </c>
    </row>
    <row r="19" spans="1:6" x14ac:dyDescent="0.25">
      <c r="A19" s="22">
        <v>11</v>
      </c>
      <c r="B19" s="23">
        <f t="shared" si="4"/>
        <v>848531.31294480199</v>
      </c>
      <c r="C19" s="23">
        <f t="shared" si="0"/>
        <v>18643.019241516649</v>
      </c>
      <c r="D19" s="23">
        <f t="shared" si="1"/>
        <v>3181.9924235430076</v>
      </c>
      <c r="E19" s="23">
        <f t="shared" si="2"/>
        <v>15461.026817973641</v>
      </c>
      <c r="F19" s="23">
        <f t="shared" si="3"/>
        <v>833070.2861268284</v>
      </c>
    </row>
    <row r="20" spans="1:6" x14ac:dyDescent="0.25">
      <c r="A20" s="22">
        <v>12</v>
      </c>
      <c r="B20" s="23">
        <f t="shared" si="4"/>
        <v>833070.2861268284</v>
      </c>
      <c r="C20" s="23">
        <f t="shared" si="0"/>
        <v>18643.019241516649</v>
      </c>
      <c r="D20" s="23">
        <f t="shared" si="1"/>
        <v>3124.0135729756062</v>
      </c>
      <c r="E20" s="23">
        <f t="shared" si="2"/>
        <v>15519.005668541044</v>
      </c>
      <c r="F20" s="23">
        <f t="shared" si="3"/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54</v>
      </c>
      <c r="B1" s="15" t="s">
        <v>55</v>
      </c>
      <c r="C1" s="15" t="s">
        <v>56</v>
      </c>
      <c r="D1" s="15" t="s">
        <v>57</v>
      </c>
      <c r="E1" s="15" t="s">
        <v>58</v>
      </c>
      <c r="F1" s="15" t="s">
        <v>59</v>
      </c>
    </row>
    <row r="2" spans="1:6" x14ac:dyDescent="0.25">
      <c r="A2" t="s">
        <v>60</v>
      </c>
      <c r="B2" s="3">
        <v>5200000</v>
      </c>
      <c r="C2" s="3">
        <v>5000000</v>
      </c>
      <c r="D2" s="3">
        <f t="shared" ref="D2:D14" si="0">IF(AND(B2&lt;&gt;"",C2&lt;&gt;""),B2-C2,"")</f>
        <v>200000</v>
      </c>
      <c r="E2" s="16">
        <f t="shared" ref="E2:E14" si="1">IF(AND(D2&lt;&gt;"",C2&lt;&gt;0),D2/C2,"")</f>
        <v>0.04</v>
      </c>
      <c r="F2">
        <v>4800000</v>
      </c>
    </row>
    <row r="3" spans="1:6" x14ac:dyDescent="0.25">
      <c r="A3" t="s">
        <v>61</v>
      </c>
      <c r="B3" s="3">
        <v>3120000</v>
      </c>
      <c r="C3" s="3">
        <v>3000000</v>
      </c>
      <c r="D3" s="3">
        <f t="shared" si="0"/>
        <v>120000</v>
      </c>
      <c r="E3" s="16">
        <f t="shared" si="1"/>
        <v>0.04</v>
      </c>
      <c r="F3">
        <v>2880000</v>
      </c>
    </row>
    <row r="4" spans="1:6" x14ac:dyDescent="0.25">
      <c r="A4" s="4" t="s">
        <v>62</v>
      </c>
      <c r="B4" s="5">
        <f>B2-B3</f>
        <v>2080000</v>
      </c>
      <c r="C4" s="5">
        <f>C2-C3</f>
        <v>2000000</v>
      </c>
      <c r="D4" s="5">
        <f t="shared" si="0"/>
        <v>80000</v>
      </c>
      <c r="E4" s="17">
        <f t="shared" si="1"/>
        <v>0.04</v>
      </c>
      <c r="F4" s="18">
        <f>F2-F3</f>
        <v>1920000</v>
      </c>
    </row>
    <row r="5" spans="1:6" x14ac:dyDescent="0.25">
      <c r="A5" t="s">
        <v>63</v>
      </c>
      <c r="B5" s="16">
        <f>IF(B2=0,0,B4/B2)</f>
        <v>0.4</v>
      </c>
      <c r="C5" s="16">
        <f>IF(C2=0,0,C4/C2)</f>
        <v>0.4</v>
      </c>
      <c r="D5" s="16">
        <f t="shared" si="0"/>
        <v>0</v>
      </c>
      <c r="E5" s="16">
        <f t="shared" si="1"/>
        <v>0</v>
      </c>
      <c r="F5" s="16">
        <f>IF(F2=0,0,F4/F2)</f>
        <v>0.4</v>
      </c>
    </row>
    <row r="6" spans="1:6" x14ac:dyDescent="0.25">
      <c r="A6" t="s">
        <v>64</v>
      </c>
      <c r="B6" s="3">
        <v>520000</v>
      </c>
      <c r="C6" s="3">
        <v>480000</v>
      </c>
      <c r="D6" s="3">
        <f t="shared" si="0"/>
        <v>40000</v>
      </c>
      <c r="E6" s="16">
        <f t="shared" si="1"/>
        <v>8.3333333333333329E-2</v>
      </c>
      <c r="F6">
        <v>450000</v>
      </c>
    </row>
    <row r="7" spans="1:6" x14ac:dyDescent="0.25">
      <c r="A7" t="s">
        <v>65</v>
      </c>
      <c r="B7" s="3">
        <v>380000</v>
      </c>
      <c r="C7" s="3">
        <v>360000</v>
      </c>
      <c r="D7" s="3">
        <f t="shared" si="0"/>
        <v>20000</v>
      </c>
      <c r="E7" s="16">
        <f t="shared" si="1"/>
        <v>5.5555555555555552E-2</v>
      </c>
      <c r="F7">
        <v>340000</v>
      </c>
    </row>
    <row r="8" spans="1:6" x14ac:dyDescent="0.25">
      <c r="A8" t="s">
        <v>66</v>
      </c>
      <c r="B8" s="3">
        <v>210000</v>
      </c>
      <c r="C8" s="3">
        <v>200000</v>
      </c>
      <c r="D8" s="3">
        <f t="shared" si="0"/>
        <v>10000</v>
      </c>
      <c r="E8" s="16">
        <f t="shared" si="1"/>
        <v>0.05</v>
      </c>
      <c r="F8">
        <v>180000</v>
      </c>
    </row>
    <row r="9" spans="1:6" x14ac:dyDescent="0.25">
      <c r="A9" s="4" t="s">
        <v>67</v>
      </c>
      <c r="B9" s="5">
        <f>B4-B6-B7-B8</f>
        <v>970000</v>
      </c>
      <c r="C9" s="5">
        <f>C4-C6-C7-C8</f>
        <v>960000</v>
      </c>
      <c r="D9" s="5">
        <f t="shared" si="0"/>
        <v>10000</v>
      </c>
      <c r="E9" s="17">
        <f t="shared" si="1"/>
        <v>1.0416666666666666E-2</v>
      </c>
      <c r="F9" s="18">
        <f>F4-F6-F7-F8</f>
        <v>950000</v>
      </c>
    </row>
    <row r="10" spans="1:6" x14ac:dyDescent="0.25">
      <c r="A10" t="s">
        <v>68</v>
      </c>
      <c r="B10" s="3">
        <v>45000</v>
      </c>
      <c r="C10" s="3">
        <v>42000</v>
      </c>
      <c r="D10" s="3">
        <f t="shared" si="0"/>
        <v>3000</v>
      </c>
      <c r="E10" s="16">
        <f t="shared" si="1"/>
        <v>7.1428571428571425E-2</v>
      </c>
      <c r="F10">
        <v>40000</v>
      </c>
    </row>
    <row r="11" spans="1:6" x14ac:dyDescent="0.25">
      <c r="A11" s="4" t="s">
        <v>69</v>
      </c>
      <c r="B11" s="5">
        <f>B9-B10</f>
        <v>925000</v>
      </c>
      <c r="C11" s="5">
        <f>C9-C10</f>
        <v>918000</v>
      </c>
      <c r="D11" s="5">
        <f t="shared" si="0"/>
        <v>7000</v>
      </c>
      <c r="E11" s="17">
        <f t="shared" si="1"/>
        <v>7.6252723311546842E-3</v>
      </c>
      <c r="F11" s="18">
        <f>F9-F10</f>
        <v>910000</v>
      </c>
    </row>
    <row r="12" spans="1:6" x14ac:dyDescent="0.25">
      <c r="A12" t="s">
        <v>70</v>
      </c>
      <c r="B12" s="3">
        <f>B11*0.25</f>
        <v>231250</v>
      </c>
      <c r="C12" s="3">
        <f>C11*0.25</f>
        <v>229500</v>
      </c>
      <c r="D12" s="3">
        <f t="shared" si="0"/>
        <v>1750</v>
      </c>
      <c r="E12" s="16">
        <f t="shared" si="1"/>
        <v>7.6252723311546842E-3</v>
      </c>
      <c r="F12">
        <f>F11*0.25</f>
        <v>227500</v>
      </c>
    </row>
    <row r="13" spans="1:6" x14ac:dyDescent="0.25">
      <c r="A13" s="4" t="s">
        <v>71</v>
      </c>
      <c r="B13" s="5">
        <f>B11-B12</f>
        <v>693750</v>
      </c>
      <c r="C13" s="5">
        <f>C11-C12</f>
        <v>688500</v>
      </c>
      <c r="D13" s="5">
        <f t="shared" si="0"/>
        <v>5250</v>
      </c>
      <c r="E13" s="17">
        <f t="shared" si="1"/>
        <v>7.6252723311546842E-3</v>
      </c>
      <c r="F13" s="18">
        <f>F11-F12</f>
        <v>682500</v>
      </c>
    </row>
    <row r="14" spans="1:6" x14ac:dyDescent="0.25">
      <c r="A14" t="s">
        <v>72</v>
      </c>
      <c r="B14" s="16">
        <f>IF(B2=0,0,B13/B2)</f>
        <v>0.13341346153846154</v>
      </c>
      <c r="C14" s="16">
        <f>IF(C2=0,0,C13/C2)</f>
        <v>0.13769999999999999</v>
      </c>
      <c r="D14" s="16">
        <f t="shared" si="0"/>
        <v>-4.2865384615384527E-3</v>
      </c>
      <c r="E14" s="16">
        <f t="shared" si="1"/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</conditionalFormatting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73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51</v>
      </c>
      <c r="C2" s="7" t="s">
        <v>47</v>
      </c>
      <c r="D2" s="7" t="s">
        <v>74</v>
      </c>
      <c r="E2" s="7" t="s">
        <v>51</v>
      </c>
      <c r="F2" s="8" t="s">
        <v>47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5">
        <f>SUM(B4:B8)</f>
        <v>1610000</v>
      </c>
      <c r="C9" s="5">
        <f>SUM(C4:C8)</f>
        <v>1400000</v>
      </c>
      <c r="D9" s="13" t="s">
        <v>88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102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73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51</v>
      </c>
      <c r="C2" s="7" t="s">
        <v>47</v>
      </c>
      <c r="D2" s="7" t="s">
        <v>74</v>
      </c>
      <c r="E2" s="7" t="s">
        <v>51</v>
      </c>
      <c r="F2" s="8" t="s">
        <v>47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5">
        <f>SUM(B4:B8)</f>
        <v>1610000</v>
      </c>
      <c r="C9" s="5">
        <f>SUM(C4:C8)</f>
        <v>1400000</v>
      </c>
      <c r="D9" s="13" t="s">
        <v>88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102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2</vt:i4>
      </vt:variant>
    </vt:vector>
  </HeadingPairs>
  <TitlesOfParts>
    <vt:vector size="8" baseType="lpstr"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2026-05-06T01:57:32Z</dcterms:modified>
</cp:coreProperties>
</file>