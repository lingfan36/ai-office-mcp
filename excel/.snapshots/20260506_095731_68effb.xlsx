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93146FA-9771-42DF-9ED1-126951D100DE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D10" i="3" l="1"/>
  <c r="E10" i="3" s="1"/>
  <c r="F10" i="3"/>
  <c r="B11" i="3" s="1"/>
  <c r="F21" i="6"/>
  <c r="E21" i="6"/>
  <c r="L5" i="2"/>
  <c r="L3" i="2"/>
  <c r="L8" i="2" s="1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<sst xmlns="http://schemas.openxmlformats.org/spreadsheetml/2006/main" count="201" uniqueCount="140">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</sst>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 t="s">
        <v>32</v>
      </c>
      <c r="B1" s="22" t="s">
        <v>0</v>
      </c>
      <c r="C1" s="22" t="s">
        <v>1</v>
      </c>
      <c r="D1" s="22" t="s">
        <v>2</v>
      </c>
      <c r="E1" s="23" t="s">
        <v>33</v>
      </c>
      <c r="F1" s="23" t="s">
        <v>34</v>
      </c>
      <c r="G1" s="22" t="s">
        <v>35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1001</v>
      </c>
      <c r="C2" s="22" t="s">
        <v>3</v>
      </c>
      <c r="D2" s="22" t="s">
        <v>4</v>
      </c>
      <c r="E2" s="23">
        <v>50000</v>
      </c>
      <c r="F2" s="23">
        <v>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45662</v>
      </c>
      <c r="B3" s="22">
        <v>4001</v>
      </c>
      <c r="C3" s="22" t="s">
        <v>11</v>
      </c>
      <c r="D3" s="22" t="s">
        <v>12</v>
      </c>
      <c r="E3" s="23">
        <v>0</v>
      </c>
      <c r="F3" s="23">
        <v>50000</v>
      </c>
      <c r="G3" s="22" t="s">
        <v>18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576000</v>
      </c>
      <c r="K3" s="19">
        <f>SUMIF($D$2:$D$17,I3,$F$2:$F$17)</f>
        <v>105500</v>
      </c>
      <c r="L3" s="19">
        <f>J3-K3</f>
        <v>470500</v>
      </c>
    </row>
    <row r="4" spans="1:12" x14ac:dyDescent="0.25">
      <c r="A4" s="30">
        <v>45667</v>
      </c>
      <c r="B4" s="22">
        <v>1002</v>
      </c>
      <c r="C4" s="22" t="s">
        <v>5</v>
      </c>
      <c r="D4" s="22" t="s">
        <v>4</v>
      </c>
      <c r="E4" s="23">
        <v>200000</v>
      </c>
      <c r="F4" s="23">
        <v>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45667</v>
      </c>
      <c r="B5" s="22">
        <v>2001</v>
      </c>
      <c r="C5" s="22" t="s">
        <v>8</v>
      </c>
      <c r="D5" s="22" t="s">
        <v>9</v>
      </c>
      <c r="E5" s="23">
        <v>0</v>
      </c>
      <c r="F5" s="23">
        <v>200000</v>
      </c>
      <c r="G5" s="22" t="s">
        <v>24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5001</v>
      </c>
      <c r="C6" s="22" t="s">
        <v>13</v>
      </c>
      <c r="D6" s="22" t="s">
        <v>14</v>
      </c>
      <c r="E6" s="23">
        <v>0</v>
      </c>
      <c r="F6" s="23">
        <v>85000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45672</v>
      </c>
      <c r="B7" s="22">
        <v>1122</v>
      </c>
      <c r="C7" s="22" t="s">
        <v>6</v>
      </c>
      <c r="D7" s="22" t="s">
        <v>4</v>
      </c>
      <c r="E7" s="23">
        <v>85000</v>
      </c>
      <c r="F7" s="23">
        <v>0</v>
      </c>
      <c r="G7" s="22" t="s">
        <v>25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5401</v>
      </c>
      <c r="C8" s="22" t="s">
        <v>17</v>
      </c>
      <c r="D8" s="22" t="s">
        <v>16</v>
      </c>
      <c r="E8" s="23">
        <v>12000</v>
      </c>
      <c r="F8" s="23">
        <v>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596500</v>
      </c>
      <c r="K8" s="31">
        <f>SUM(K3:K7)</f>
        <v>596500</v>
      </c>
      <c r="L8" s="32">
        <f>SUM(L3:L7)</f>
        <v>0</v>
      </c>
    </row>
    <row r="9" spans="1:12" x14ac:dyDescent="0.25">
      <c r="A9" s="30">
        <v>45677</v>
      </c>
      <c r="B9" s="22">
        <v>1002</v>
      </c>
      <c r="C9" s="22" t="s">
        <v>5</v>
      </c>
      <c r="D9" s="22" t="s">
        <v>4</v>
      </c>
      <c r="E9" s="23">
        <v>0</v>
      </c>
      <c r="F9" s="23">
        <v>12000</v>
      </c>
      <c r="G9" s="22" t="s">
        <v>26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1401</v>
      </c>
      <c r="C10" s="22" t="s">
        <v>7</v>
      </c>
      <c r="D10" s="22" t="s">
        <v>4</v>
      </c>
      <c r="E10" s="23">
        <v>36000</v>
      </c>
      <c r="F10" s="23">
        <v>0</v>
      </c>
      <c r="G10" s="22" t="s">
        <v>28</v>
      </c>
      <c r="H10" s="33" t="str">
        <f>IF(VLOOKUP(B10,辅助表!$A:$C,2,0)=C10,"OK","科目名不符")</f>
        <v>OK</v>
      </c>
    </row>
    <row r="11" spans="1:12" x14ac:dyDescent="0.25">
      <c r="A11" s="30">
        <v>45691</v>
      </c>
      <c r="B11" s="22">
        <v>2202</v>
      </c>
      <c r="C11" s="22" t="s">
        <v>10</v>
      </c>
      <c r="D11" s="22" t="s">
        <v>9</v>
      </c>
      <c r="E11" s="23">
        <v>0</v>
      </c>
      <c r="F11" s="23">
        <v>36000</v>
      </c>
      <c r="G11" s="22" t="s">
        <v>28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5101</v>
      </c>
      <c r="C12" s="22" t="s">
        <v>15</v>
      </c>
      <c r="D12" s="22" t="s">
        <v>16</v>
      </c>
      <c r="E12" s="23">
        <v>8500</v>
      </c>
      <c r="F12" s="23">
        <v>0</v>
      </c>
      <c r="G12" s="22" t="s">
        <v>29</v>
      </c>
      <c r="H12" s="33" t="str">
        <f>IF(VLOOKUP(B12,辅助表!$A:$C,2,0)=C12,"OK","科目名不符")</f>
        <v>OK</v>
      </c>
    </row>
    <row r="13" spans="1:12" x14ac:dyDescent="0.25">
      <c r="A13" s="30">
        <v>45698</v>
      </c>
      <c r="B13" s="22">
        <v>1002</v>
      </c>
      <c r="C13" s="22" t="s">
        <v>5</v>
      </c>
      <c r="D13" s="22" t="s">
        <v>4</v>
      </c>
      <c r="E13" s="23">
        <v>0</v>
      </c>
      <c r="F13" s="23">
        <v>8500</v>
      </c>
      <c r="G13" s="22" t="s">
        <v>29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5001</v>
      </c>
      <c r="C14" s="22" t="s">
        <v>13</v>
      </c>
      <c r="D14" s="22" t="s">
        <v>14</v>
      </c>
      <c r="E14" s="23">
        <v>0</v>
      </c>
      <c r="F14" s="23">
        <v>120000</v>
      </c>
      <c r="G14" s="22" t="s">
        <v>30</v>
      </c>
      <c r="H14" s="33" t="str">
        <f>IF(VLOOKUP(B14,辅助表!$A:$C,2,0)=C14,"OK","科目名不符")</f>
        <v>OK</v>
      </c>
    </row>
    <row r="15" spans="1:12" x14ac:dyDescent="0.25">
      <c r="A15" s="30">
        <v>45706</v>
      </c>
      <c r="B15" s="22">
        <v>1122</v>
      </c>
      <c r="C15" s="22" t="s">
        <v>6</v>
      </c>
      <c r="D15" s="22" t="s">
        <v>4</v>
      </c>
      <c r="E15" s="23">
        <v>120000</v>
      </c>
      <c r="F15" s="23">
        <v>0</v>
      </c>
      <c r="G15" s="22" t="s">
        <v>30</v>
      </c>
      <c r="H15" s="33" t="str">
        <f>IF(VLOOKUP(B15,辅助表!$A:$C,2,0)=C15,"OK","科目名不符")</f>
        <v>OK</v>
      </c>
    </row>
    <row r="16" spans="1:12" x14ac:dyDescent="0.25">
      <c r="A16" s="30">
        <v>45717</v>
      </c>
      <c r="B16" s="22">
        <v>1002</v>
      </c>
      <c r="C16" s="22" t="s">
        <v>5</v>
      </c>
      <c r="D16" s="22" t="s">
        <v>4</v>
      </c>
      <c r="E16" s="23">
        <v>85000</v>
      </c>
      <c r="F16" s="23">
        <v>0</v>
      </c>
      <c r="G16" s="22" t="s">
        <v>31</v>
      </c>
      <c r="H16" s="33" t="str">
        <f>IF(VLOOKUP(B16,辅助表!$A:$C,2,0)=C16,"OK","科目名不符")</f>
        <v>OK</v>
      </c>
    </row>
    <row r="17" spans="1:8" x14ac:dyDescent="0.25">
      <c r="A17" s="45">
        <v>45717</v>
      </c>
      <c r="B17" s="29">
        <v>1122</v>
      </c>
      <c r="C17" s="29" t="s">
        <v>6</v>
      </c>
      <c r="D17" s="29" t="s">
        <v>4</v>
      </c>
      <c r="E17" s="29">
        <v>0</v>
      </c>
      <c r="F17" s="29">
        <v>85000</v>
      </c>
      <c r="G17" s="29" t="s">
        <v>31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00000000-0002-0000-0100-000000000000}">
      <formula1>"资产,负债,权益,收入,费用"</formula1>
    </dataValidation>
    <dataValidation type="decimal" operator="greaterThanOrEqual" allowBlank="1" showInputMessage="1" showErrorMessage="1" error="金额不能为负数" sqref="E2:F17" xr:uid="{00000000-0002-0000-0100-000001000000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124</v>
      </c>
      <c r="B1" s="36"/>
      <c r="C1" s="36"/>
      <c r="D1" s="36"/>
      <c r="E1" s="36"/>
      <c r="F1" s="36"/>
      <c r="H1" s="37" t="s">
        <v>133</v>
      </c>
      <c r="I1" s="37"/>
      <c r="J1" s="37"/>
      <c r="K1" s="37"/>
      <c r="L1" s="37"/>
      <c r="M1" s="37"/>
      <c r="N1" s="37"/>
    </row>
    <row r="3" spans="1:14" x14ac:dyDescent="0.25">
      <c r="A3" t="s">
        <v>125</v>
      </c>
      <c r="B3" s="19">
        <v>1000000</v>
      </c>
      <c r="H3" t="s">
        <v>134</v>
      </c>
      <c r="I3" s="16">
        <v>0.1</v>
      </c>
    </row>
    <row r="4" spans="1:14" x14ac:dyDescent="0.25">
      <c r="A4" t="s">
        <v>126</v>
      </c>
      <c r="B4" s="19">
        <v>4.4999999999999998E-2</v>
      </c>
      <c r="H4" t="s">
        <v>135</v>
      </c>
      <c r="I4">
        <v>-500000</v>
      </c>
    </row>
    <row r="5" spans="1:14" x14ac:dyDescent="0.25">
      <c r="A5" t="s">
        <v>127</v>
      </c>
      <c r="B5" s="19">
        <v>60</v>
      </c>
      <c r="H5" s="2" t="s">
        <v>136</v>
      </c>
      <c r="I5" s="2" t="s">
        <v>137</v>
      </c>
    </row>
    <row r="6" spans="1:14" x14ac:dyDescent="0.25">
      <c r="A6" s="20" t="s">
        <v>128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129</v>
      </c>
      <c r="B8" s="2" t="s">
        <v>73</v>
      </c>
      <c r="C8" s="2" t="s">
        <v>130</v>
      </c>
      <c r="D8" s="2" t="s">
        <v>131</v>
      </c>
      <c r="E8" s="2" t="s">
        <v>132</v>
      </c>
      <c r="F8" s="2" t="s">
        <v>72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138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139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105</v>
      </c>
      <c r="B1" s="15" t="s">
        <v>106</v>
      </c>
      <c r="C1" s="15" t="s">
        <v>107</v>
      </c>
      <c r="D1" s="15" t="s">
        <v>108</v>
      </c>
      <c r="E1" s="15" t="s">
        <v>109</v>
      </c>
      <c r="F1" s="15" t="s">
        <v>110</v>
      </c>
    </row>
    <row r="2" spans="1:6" x14ac:dyDescent="0.25">
      <c r="A2" t="s">
        <v>111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112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113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114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115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116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117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119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120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121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122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123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40" t="s">
        <v>70</v>
      </c>
      <c r="B1" s="40"/>
      <c r="C1" s="40"/>
      <c r="D1" s="40"/>
      <c r="E1" s="40"/>
      <c r="F1" s="40"/>
    </row>
    <row r="2" spans="1:6" x14ac:dyDescent="0.25">
      <c r="A2" s="6" t="s">
        <v>71</v>
      </c>
      <c r="B2" s="7" t="s">
        <v>72</v>
      </c>
      <c r="C2" s="7" t="s">
        <v>73</v>
      </c>
      <c r="D2" s="7" t="s">
        <v>74</v>
      </c>
      <c r="E2" s="7" t="s">
        <v>72</v>
      </c>
      <c r="F2" s="8" t="s">
        <v>73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41">
        <f>SUM(B4:B8)</f>
        <v>1610000</v>
      </c>
      <c r="C9" s="41">
        <f>SUM(C4:C8)</f>
        <v>1400000</v>
      </c>
      <c r="D9" s="42" t="s">
        <v>88</v>
      </c>
      <c r="E9" s="41">
        <f>SUM(E4:E8)</f>
        <v>665000</v>
      </c>
      <c r="F9" s="43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41">
        <f>SUM(B11:B13)</f>
        <v>1380000</v>
      </c>
      <c r="C14" s="41">
        <f>SUM(C11:C13)</f>
        <v>1550000</v>
      </c>
      <c r="D14" s="42"/>
      <c r="E14" s="41">
        <f>SUM(E11:E12)</f>
        <v>500000</v>
      </c>
      <c r="F14" s="43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44">
        <f>SUM(E17:E19)</f>
        <v>1000000</v>
      </c>
      <c r="F20" s="44">
        <f>SUM(F17:F19)</f>
        <v>1000000</v>
      </c>
    </row>
    <row r="21" spans="1:6" x14ac:dyDescent="0.25">
      <c r="A21" s="11"/>
      <c r="B21" s="41">
        <f>B9+B14</f>
        <v>2990000</v>
      </c>
      <c r="C21" s="41">
        <f>C9+C14</f>
        <v>2950000</v>
      </c>
      <c r="D21" s="42" t="s">
        <v>102</v>
      </c>
      <c r="E21" s="41">
        <f>E9+E14+E20</f>
        <v>2165000</v>
      </c>
      <c r="F21" s="43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38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37</v>
      </c>
      <c r="C2" s="7" t="s">
        <v>36</v>
      </c>
      <c r="D2" s="7" t="s">
        <v>39</v>
      </c>
      <c r="E2" s="7" t="s">
        <v>37</v>
      </c>
      <c r="F2" s="8" t="s">
        <v>36</v>
      </c>
    </row>
    <row r="3" spans="1:6" x14ac:dyDescent="0.25">
      <c r="A3" s="9" t="s">
        <v>40</v>
      </c>
      <c r="B3" s="10"/>
      <c r="C3" s="10"/>
      <c r="D3" s="9" t="s">
        <v>41</v>
      </c>
      <c r="E3" s="10"/>
      <c r="F3" s="10"/>
    </row>
    <row r="4" spans="1:6" x14ac:dyDescent="0.25">
      <c r="A4" s="9" t="s">
        <v>42</v>
      </c>
      <c r="B4" s="10">
        <v>850000</v>
      </c>
      <c r="C4" s="10">
        <v>720000</v>
      </c>
      <c r="D4" s="9" t="s">
        <v>43</v>
      </c>
      <c r="E4" s="10">
        <v>200000</v>
      </c>
      <c r="F4" s="10">
        <v>150000</v>
      </c>
    </row>
    <row r="5" spans="1:6" x14ac:dyDescent="0.25">
      <c r="A5" s="9" t="s">
        <v>44</v>
      </c>
      <c r="B5" s="10">
        <v>430000</v>
      </c>
      <c r="C5" s="10">
        <v>380000</v>
      </c>
      <c r="D5" s="9" t="s">
        <v>45</v>
      </c>
      <c r="E5" s="10">
        <v>310000</v>
      </c>
      <c r="F5" s="10">
        <v>270000</v>
      </c>
    </row>
    <row r="6" spans="1:6" x14ac:dyDescent="0.25">
      <c r="A6" s="9" t="s">
        <v>46</v>
      </c>
      <c r="B6" s="10">
        <v>280000</v>
      </c>
      <c r="C6" s="10">
        <v>260000</v>
      </c>
      <c r="D6" s="9" t="s">
        <v>47</v>
      </c>
      <c r="E6" s="10">
        <v>45000</v>
      </c>
      <c r="F6" s="10">
        <v>38000</v>
      </c>
    </row>
    <row r="7" spans="1:6" x14ac:dyDescent="0.25">
      <c r="A7" s="9" t="s">
        <v>48</v>
      </c>
      <c r="B7" s="10">
        <v>35000</v>
      </c>
      <c r="C7" s="10">
        <v>28000</v>
      </c>
      <c r="D7" s="9" t="s">
        <v>49</v>
      </c>
      <c r="E7" s="10">
        <v>82000</v>
      </c>
      <c r="F7" s="10">
        <v>76000</v>
      </c>
    </row>
    <row r="8" spans="1:6" x14ac:dyDescent="0.25">
      <c r="A8" s="9" t="s">
        <v>50</v>
      </c>
      <c r="B8" s="10">
        <v>15000</v>
      </c>
      <c r="C8" s="10">
        <v>12000</v>
      </c>
      <c r="D8" s="9" t="s">
        <v>51</v>
      </c>
      <c r="E8" s="10">
        <v>28000</v>
      </c>
      <c r="F8" s="10">
        <v>24000</v>
      </c>
    </row>
    <row r="9" spans="1:6" x14ac:dyDescent="0.25">
      <c r="A9" s="11" t="s">
        <v>52</v>
      </c>
      <c r="B9" s="5">
        <f>SUM(B4:B8)</f>
        <v>1610000</v>
      </c>
      <c r="C9" s="5">
        <f>SUM(C4:C8)</f>
        <v>1400000</v>
      </c>
      <c r="D9" s="13" t="s">
        <v>53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54</v>
      </c>
      <c r="B11" s="10"/>
      <c r="C11" s="10"/>
      <c r="D11" s="9" t="s">
        <v>55</v>
      </c>
      <c r="E11" s="10"/>
      <c r="F11" s="10"/>
    </row>
    <row r="12" spans="1:6" x14ac:dyDescent="0.25">
      <c r="A12" s="9" t="s">
        <v>56</v>
      </c>
      <c r="B12" s="10">
        <v>1200000</v>
      </c>
      <c r="C12" s="10">
        <v>1350000</v>
      </c>
      <c r="D12" s="9" t="s">
        <v>57</v>
      </c>
      <c r="E12" s="10">
        <v>500000</v>
      </c>
      <c r="F12" s="10">
        <v>600000</v>
      </c>
    </row>
    <row r="13" spans="1:6" x14ac:dyDescent="0.25">
      <c r="A13" s="9" t="s">
        <v>58</v>
      </c>
      <c r="B13" s="10">
        <v>180000</v>
      </c>
      <c r="C13" s="10">
        <v>200000</v>
      </c>
      <c r="D13" s="9" t="s">
        <v>59</v>
      </c>
      <c r="E13" s="10">
        <v>80000</v>
      </c>
      <c r="F13" s="10">
        <v>90000</v>
      </c>
    </row>
    <row r="14" spans="1:6" x14ac:dyDescent="0.25">
      <c r="A14" s="11" t="s">
        <v>60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61</v>
      </c>
      <c r="B15" s="10"/>
      <c r="C15" s="10"/>
      <c r="D15" s="9" t="s">
        <v>62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63</v>
      </c>
      <c r="E17" s="10"/>
      <c r="F17" s="10"/>
    </row>
    <row r="18" spans="1:6" x14ac:dyDescent="0.25">
      <c r="A18" s="9"/>
      <c r="B18" s="10"/>
      <c r="C18" s="10"/>
      <c r="D18" s="9" t="s">
        <v>64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65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66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67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68</v>
      </c>
      <c r="B22" s="9"/>
      <c r="C22" s="9"/>
      <c r="D22" s="9" t="s">
        <v>69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2026-05-06T01:57:31Z</dcterms:modified>
</cp:coreProperties>
</file>