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863DEA0-9BDD-49C7-B343-199C4303DAA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<sst xmlns="http://schemas.openxmlformats.org/spreadsheetml/2006/main" count="201" uniqueCount="140">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</sst>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45" t="s">
        <v>32</v>
      </c>
      <c r="B1" s="29" t="s">
        <v>0</v>
      </c>
      <c r="C1" s="29" t="s">
        <v>1</v>
      </c>
      <c r="D1" s="29" t="s">
        <v>2</v>
      </c>
      <c r="E1" s="46" t="s">
        <v>33</v>
      </c>
      <c r="F1" s="46" t="s">
        <v>34</v>
      </c>
      <c r="G1" s="29" t="s">
        <v>35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1001</v>
      </c>
      <c r="C2" s="22" t="s">
        <v>3</v>
      </c>
      <c r="D2" s="22" t="s">
        <v>4</v>
      </c>
      <c r="E2" s="23">
        <v>50000</v>
      </c>
      <c r="F2" s="23">
        <v>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45662</v>
      </c>
      <c r="B3" s="22">
        <v>4001</v>
      </c>
      <c r="C3" s="22" t="s">
        <v>11</v>
      </c>
      <c r="D3" s="22" t="s">
        <v>12</v>
      </c>
      <c r="E3" s="23">
        <v>0</v>
      </c>
      <c r="F3" s="23">
        <v>50000</v>
      </c>
      <c r="G3" s="22" t="s">
        <v>18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576000</v>
      </c>
      <c r="K3" s="19">
        <f>SUMIF($D$2:$D$17,I3,$F$2:$F$17)</f>
        <v>105500</v>
      </c>
      <c r="L3" s="19">
        <f>J3-K3</f>
        <v>470500</v>
      </c>
    </row>
    <row r="4" spans="1:12" x14ac:dyDescent="0.25">
      <c r="A4" s="30">
        <v>45667</v>
      </c>
      <c r="B4" s="22">
        <v>1002</v>
      </c>
      <c r="C4" s="22" t="s">
        <v>5</v>
      </c>
      <c r="D4" s="22" t="s">
        <v>4</v>
      </c>
      <c r="E4" s="23">
        <v>200000</v>
      </c>
      <c r="F4" s="23">
        <v>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45667</v>
      </c>
      <c r="B5" s="22">
        <v>2001</v>
      </c>
      <c r="C5" s="22" t="s">
        <v>8</v>
      </c>
      <c r="D5" s="22" t="s">
        <v>9</v>
      </c>
      <c r="E5" s="23">
        <v>0</v>
      </c>
      <c r="F5" s="23">
        <v>200000</v>
      </c>
      <c r="G5" s="22" t="s">
        <v>24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5001</v>
      </c>
      <c r="C6" s="22" t="s">
        <v>13</v>
      </c>
      <c r="D6" s="22" t="s">
        <v>14</v>
      </c>
      <c r="E6" s="23">
        <v>0</v>
      </c>
      <c r="F6" s="23">
        <v>85000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45672</v>
      </c>
      <c r="B7" s="22">
        <v>1122</v>
      </c>
      <c r="C7" s="22" t="s">
        <v>6</v>
      </c>
      <c r="D7" s="22" t="s">
        <v>4</v>
      </c>
      <c r="E7" s="23">
        <v>85000</v>
      </c>
      <c r="F7" s="23">
        <v>0</v>
      </c>
      <c r="G7" s="22" t="s">
        <v>25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5401</v>
      </c>
      <c r="C8" s="22" t="s">
        <v>17</v>
      </c>
      <c r="D8" s="22" t="s">
        <v>16</v>
      </c>
      <c r="E8" s="23">
        <v>12000</v>
      </c>
      <c r="F8" s="23">
        <v>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596500</v>
      </c>
      <c r="K8" s="31">
        <f>SUM(K3:K7)</f>
        <v>596500</v>
      </c>
      <c r="L8" s="32">
        <f>SUM(L3:L7)</f>
        <v>0</v>
      </c>
    </row>
    <row r="9" spans="1:12" x14ac:dyDescent="0.25">
      <c r="A9" s="30">
        <v>45677</v>
      </c>
      <c r="B9" s="22">
        <v>1002</v>
      </c>
      <c r="C9" s="22" t="s">
        <v>5</v>
      </c>
      <c r="D9" s="22" t="s">
        <v>4</v>
      </c>
      <c r="E9" s="23">
        <v>0</v>
      </c>
      <c r="F9" s="23">
        <v>12000</v>
      </c>
      <c r="G9" s="22" t="s">
        <v>26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1401</v>
      </c>
      <c r="C10" s="22" t="s">
        <v>7</v>
      </c>
      <c r="D10" s="22" t="s">
        <v>4</v>
      </c>
      <c r="E10" s="23">
        <v>36000</v>
      </c>
      <c r="F10" s="23">
        <v>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45691</v>
      </c>
      <c r="B11" s="22">
        <v>2202</v>
      </c>
      <c r="C11" s="22" t="s">
        <v>10</v>
      </c>
      <c r="D11" s="22" t="s">
        <v>9</v>
      </c>
      <c r="E11" s="23">
        <v>0</v>
      </c>
      <c r="F11" s="23">
        <v>36000</v>
      </c>
      <c r="G11" s="22" t="s">
        <v>28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5101</v>
      </c>
      <c r="C12" s="22" t="s">
        <v>15</v>
      </c>
      <c r="D12" s="22" t="s">
        <v>16</v>
      </c>
      <c r="E12" s="23">
        <v>8500</v>
      </c>
      <c r="F12" s="23">
        <v>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45698</v>
      </c>
      <c r="B13" s="22">
        <v>1002</v>
      </c>
      <c r="C13" s="22" t="s">
        <v>5</v>
      </c>
      <c r="D13" s="22" t="s">
        <v>4</v>
      </c>
      <c r="E13" s="23">
        <v>0</v>
      </c>
      <c r="F13" s="23">
        <v>8500</v>
      </c>
      <c r="G13" s="22" t="s">
        <v>29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5001</v>
      </c>
      <c r="C14" s="22" t="s">
        <v>13</v>
      </c>
      <c r="D14" s="22" t="s">
        <v>14</v>
      </c>
      <c r="E14" s="23">
        <v>0</v>
      </c>
      <c r="F14" s="23">
        <v>120000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45706</v>
      </c>
      <c r="B15" s="22">
        <v>1122</v>
      </c>
      <c r="C15" s="22" t="s">
        <v>6</v>
      </c>
      <c r="D15" s="22" t="s">
        <v>4</v>
      </c>
      <c r="E15" s="23">
        <v>120000</v>
      </c>
      <c r="F15" s="23">
        <v>0</v>
      </c>
      <c r="G15" s="22" t="s">
        <v>30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1002</v>
      </c>
      <c r="C16" s="22" t="s">
        <v>5</v>
      </c>
      <c r="D16" s="22" t="s">
        <v>4</v>
      </c>
      <c r="E16" s="23">
        <v>85000</v>
      </c>
      <c r="F16" s="23">
        <v>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45">
        <v>45717</v>
      </c>
      <c r="B17" s="29">
        <v>1122</v>
      </c>
      <c r="C17" s="29" t="s">
        <v>6</v>
      </c>
      <c r="D17" s="29" t="s">
        <v>4</v>
      </c>
      <c r="E17" s="46">
        <v>0</v>
      </c>
      <c r="F17" s="46">
        <v>85000</v>
      </c>
      <c r="G17" s="29" t="s">
        <v>31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decimal" operator="greaterThanOrEqual" allowBlank="1" showInputMessage="1" showErrorMessage="1" error="金额不能为负数" sqref="E2:F17" xr:uid="{00000000-0002-0000-0100-000001000000}">
      <formula1>0</formula1>
    </dataValidation>
    <dataValidation type="list" allowBlank="1" showInputMessage="1" showErrorMessage="1" prompt="请选择科目类型" sqref="D2:D17" xr:uid="{EC239893-E088-43FB-BA94-0394D443CA46}">
      <formula1>"资产,负债,权益,收入,费用"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