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63775584-5CBA-4E13-A3E3-6352A5433978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4" l="1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F15" i="3" l="1"/>
  <c r="B16" i="3" s="1"/>
  <c r="D15" i="3"/>
  <c r="E15" i="3" s="1"/>
  <c r="D16" i="3" l="1"/>
  <c r="E16" i="3" s="1"/>
  <c r="F16" i="3" s="1"/>
  <c r="B17" i="3" s="1"/>
  <c r="F17" i="3" l="1"/>
  <c r="B18" i="3" s="1"/>
  <c r="D17" i="3"/>
  <c r="E17" i="3" s="1"/>
  <c r="F18" i="3" l="1"/>
  <c r="B19" i="3" s="1"/>
  <c r="D18" i="3"/>
  <c r="E18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<sst xmlns="http://schemas.openxmlformats.org/spreadsheetml/2006/main" count="164" uniqueCount="105">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</sst>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81D5-7FF9-4170-9944-1E2A91C07FA1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EC0F-ADE8-4E88-A6B4-5C27CAD650A5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  <c r="H13" t="str">
        <f>IF(VLOOKUP(B13,辅助表!$A:$C,2,0)=C13,"OK","科目名不符")</f>
        <v>OK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  <c r="H14" t="str">
        <f>IF(VLOOKUP(B14,辅助表!$A:$C,2,0)=C14,"OK","科目名不符")</f>
        <v>OK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  <c r="H15" t="str">
        <f>IF(VLOOKUP(B15,辅助表!$A:$C,2,0)=C15,"OK","科目名不符")</f>
        <v>OK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  <c r="H16" t="str">
        <f>IF(VLOOKUP(B16,辅助表!$A:$C,2,0)=C16,"OK","科目名不符")</f>
        <v>OK</v>
      </c>
    </row>
    <row r="17" spans="1:8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  <c r="H17" t="str">
        <f>IF(VLOOKUP(B17,辅助表!$A:$C,2,0)=C17,"OK","科目名不符")</f>
        <v>OK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A71C-D428-4D3C-9214-3A06396036BC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4128-F608-4DC8-BE98-BFF9903F0D6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{51A7C491-2A92-4D61-AC7D-052706B2B5EA}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7C491-2A92-4D61-AC7D-052706B2B5EA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2026-05-05T08:31:57Z</dcterms:created>
  <dcterms:modified xsi:type="dcterms:W3CDTF">2026-05-05T08:32:06Z</dcterms:modified>
</cp:coreProperties>
</file>