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B18E7C70-FEB2-4541-8E4C-F4C2DD369F7A}" xr6:coauthVersionLast="47" xr6:coauthVersionMax="47" xr10:uidLastSave="{00000000-0000-0000-0000-000000000000}"/>
  <bookViews>
    <workbookView xWindow="1100" yWindow="1100" windowWidth="19200" windowHeight="11170" xr2:uid="{3ED6E916-6320-4292-A2B1-1830E4E6CBAC}"/>
  </bookViews>
  <sheets>
    <sheet name="资产负债表" sheetId="1" r:id="rId1"/>
  </sheets>
  <definedNames>
    <definedName name="TotalAssets">资产负债表!B21</definedName>
    <definedName name="TotalLiabEquity">资产负债表!E21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" l="1"/>
  <c r="F20" i="1"/>
  <c r="E20" i="1"/>
  <c r="F14" i="1"/>
  <c r="E14" i="1"/>
  <c r="C14" i="1"/>
  <c r="B14" i="1"/>
  <c r="F9" i="1"/>
  <c r="F21" i="1" s="1"/>
  <c r="E9" i="1"/>
  <c r="E21" i="1" s="1"/>
  <c r="C9" i="1"/>
  <c r="C21" i="1" s="1"/>
  <c r="B9" i="1"/>
  <c r="B21" i="1" s="1"/>
</calcChain>
</file>

<file path=xl/sharedStrings.xml><?xml version="1.0" encoding="utf-8"?>
<sst xmlns="http://schemas.openxmlformats.org/spreadsheetml/2006/main" count="37" uniqueCount="35">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</sst>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6" x14ac:knownFonts="1">
    <font>
      <sz val="11"/>
      <color theme="1"/>
      <name val="宋体"/>
      <family val="2"/>
      <scheme val="minor"/>
    </font>
    <font>
      <b/>
      <sz val="14"/>
      <color rgb="FFFFFF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4" fillId="0" borderId="1" xfId="0" applyFont="1" applyBorder="1" applyProtection="1">
      <protection locked="0"/>
    </xf>
    <xf numFmtId="176" fontId="4" fillId="0" borderId="2" xfId="0" applyNumberFormat="1" applyFont="1" applyBorder="1"/>
    <xf numFmtId="0" fontId="4" fillId="0" borderId="2" xfId="0" applyFont="1" applyBorder="1"/>
    <xf numFmtId="176" fontId="4" fillId="0" borderId="3" xfId="0" applyNumberFormat="1" applyFont="1" applyBorder="1"/>
    <xf numFmtId="176" fontId="0" fillId="0" borderId="0" xfId="0" applyNumberFormat="1"/>
    <xf numFmtId="0" fontId="5" fillId="0" borderId="0" xfId="0" applyFont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B6B5-06A7-4DDB-9D20-6A11B8C220AF}">
  <dimension ref="A1:F30"/>
  <sheetViews>
    <sheetView tabSelected="1"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2</v>
      </c>
      <c r="F2" s="4" t="s">
        <v>3</v>
      </c>
    </row>
    <row r="3" spans="1:6" x14ac:dyDescent="0.25">
      <c r="A3" s="5" t="s">
        <v>5</v>
      </c>
      <c r="B3" s="6"/>
      <c r="C3" s="6"/>
      <c r="D3" s="5" t="s">
        <v>6</v>
      </c>
      <c r="E3" s="6"/>
      <c r="F3" s="6"/>
    </row>
    <row r="4" spans="1:6" x14ac:dyDescent="0.25">
      <c r="A4" s="5" t="s">
        <v>7</v>
      </c>
      <c r="B4" s="6">
        <v>850000</v>
      </c>
      <c r="C4" s="6">
        <v>720000</v>
      </c>
      <c r="D4" s="5" t="s">
        <v>8</v>
      </c>
      <c r="E4" s="6">
        <v>200000</v>
      </c>
      <c r="F4" s="6">
        <v>150000</v>
      </c>
    </row>
    <row r="5" spans="1:6" x14ac:dyDescent="0.25">
      <c r="A5" s="5" t="s">
        <v>9</v>
      </c>
      <c r="B5" s="6">
        <v>430000</v>
      </c>
      <c r="C5" s="6">
        <v>380000</v>
      </c>
      <c r="D5" s="5" t="s">
        <v>10</v>
      </c>
      <c r="E5" s="6">
        <v>310000</v>
      </c>
      <c r="F5" s="6">
        <v>270000</v>
      </c>
    </row>
    <row r="6" spans="1:6" x14ac:dyDescent="0.25">
      <c r="A6" s="5" t="s">
        <v>11</v>
      </c>
      <c r="B6" s="6">
        <v>280000</v>
      </c>
      <c r="C6" s="6">
        <v>260000</v>
      </c>
      <c r="D6" s="5" t="s">
        <v>12</v>
      </c>
      <c r="E6" s="6">
        <v>45000</v>
      </c>
      <c r="F6" s="6">
        <v>38000</v>
      </c>
    </row>
    <row r="7" spans="1:6" x14ac:dyDescent="0.25">
      <c r="A7" s="5" t="s">
        <v>13</v>
      </c>
      <c r="B7" s="6">
        <v>35000</v>
      </c>
      <c r="C7" s="6">
        <v>28000</v>
      </c>
      <c r="D7" s="5" t="s">
        <v>14</v>
      </c>
      <c r="E7" s="6">
        <v>82000</v>
      </c>
      <c r="F7" s="6">
        <v>76000</v>
      </c>
    </row>
    <row r="8" spans="1:6" x14ac:dyDescent="0.25">
      <c r="A8" s="5" t="s">
        <v>15</v>
      </c>
      <c r="B8" s="6">
        <v>15000</v>
      </c>
      <c r="C8" s="6">
        <v>12000</v>
      </c>
      <c r="D8" s="5" t="s">
        <v>16</v>
      </c>
      <c r="E8" s="6">
        <v>28000</v>
      </c>
      <c r="F8" s="6">
        <v>24000</v>
      </c>
    </row>
    <row r="9" spans="1:6" x14ac:dyDescent="0.25">
      <c r="A9" s="7" t="s">
        <v>17</v>
      </c>
      <c r="B9" s="8">
        <f>SUM(B4:B8)</f>
        <v>1610000</v>
      </c>
      <c r="C9" s="8">
        <f>SUM(C4:C8)</f>
        <v>1400000</v>
      </c>
      <c r="D9" s="9" t="s">
        <v>18</v>
      </c>
      <c r="E9" s="8">
        <f>SUM(E4:E8)</f>
        <v>665000</v>
      </c>
      <c r="F9" s="10">
        <f>SUM(F4:F8)</f>
        <v>558000</v>
      </c>
    </row>
    <row r="10" spans="1:6" x14ac:dyDescent="0.25">
      <c r="A10" s="5"/>
      <c r="B10" s="6"/>
      <c r="C10" s="6"/>
      <c r="D10" s="5"/>
      <c r="E10" s="6"/>
      <c r="F10" s="6"/>
    </row>
    <row r="11" spans="1:6" x14ac:dyDescent="0.25">
      <c r="A11" s="5" t="s">
        <v>19</v>
      </c>
      <c r="B11" s="6"/>
      <c r="C11" s="6"/>
      <c r="D11" s="5" t="s">
        <v>20</v>
      </c>
      <c r="E11" s="6"/>
      <c r="F11" s="6"/>
    </row>
    <row r="12" spans="1:6" x14ac:dyDescent="0.25">
      <c r="A12" s="5" t="s">
        <v>21</v>
      </c>
      <c r="B12" s="6">
        <v>1200000</v>
      </c>
      <c r="C12" s="6">
        <v>1350000</v>
      </c>
      <c r="D12" s="5" t="s">
        <v>22</v>
      </c>
      <c r="E12" s="6">
        <v>500000</v>
      </c>
      <c r="F12" s="6">
        <v>600000</v>
      </c>
    </row>
    <row r="13" spans="1:6" x14ac:dyDescent="0.25">
      <c r="A13" s="5" t="s">
        <v>23</v>
      </c>
      <c r="B13" s="6">
        <v>180000</v>
      </c>
      <c r="C13" s="6">
        <v>200000</v>
      </c>
      <c r="D13" s="5" t="s">
        <v>24</v>
      </c>
      <c r="E13" s="6">
        <v>80000</v>
      </c>
      <c r="F13" s="6">
        <v>90000</v>
      </c>
    </row>
    <row r="14" spans="1:6" x14ac:dyDescent="0.25">
      <c r="A14" s="7" t="s">
        <v>25</v>
      </c>
      <c r="B14" s="8">
        <f>SUM(B11:B13)</f>
        <v>1380000</v>
      </c>
      <c r="C14" s="8">
        <f>SUM(C11:C13)</f>
        <v>1550000</v>
      </c>
      <c r="D14" s="9"/>
      <c r="E14" s="8">
        <f>SUM(E11:E12)</f>
        <v>500000</v>
      </c>
      <c r="F14" s="10">
        <f>SUM(F11:F12)</f>
        <v>600000</v>
      </c>
    </row>
    <row r="15" spans="1:6" x14ac:dyDescent="0.25">
      <c r="A15" s="5" t="s">
        <v>26</v>
      </c>
      <c r="B15" s="6"/>
      <c r="C15" s="6"/>
      <c r="D15" s="5" t="s">
        <v>27</v>
      </c>
      <c r="E15" s="6"/>
      <c r="F15" s="6"/>
    </row>
    <row r="16" spans="1:6" x14ac:dyDescent="0.25">
      <c r="A16" s="5"/>
      <c r="B16" s="6"/>
      <c r="C16" s="6"/>
      <c r="D16" s="5"/>
      <c r="E16" s="6"/>
      <c r="F16" s="6"/>
    </row>
    <row r="17" spans="1:6" x14ac:dyDescent="0.25">
      <c r="A17" s="5"/>
      <c r="B17" s="6"/>
      <c r="C17" s="6"/>
      <c r="D17" s="5" t="s">
        <v>28</v>
      </c>
      <c r="E17" s="6"/>
      <c r="F17" s="6"/>
    </row>
    <row r="18" spans="1:6" x14ac:dyDescent="0.25">
      <c r="A18" s="5"/>
      <c r="B18" s="6"/>
      <c r="C18" s="6"/>
      <c r="D18" s="5" t="s">
        <v>29</v>
      </c>
      <c r="E18" s="6">
        <v>800000</v>
      </c>
      <c r="F18" s="6">
        <v>800000</v>
      </c>
    </row>
    <row r="19" spans="1:6" x14ac:dyDescent="0.25">
      <c r="A19" s="5"/>
      <c r="B19" s="6"/>
      <c r="C19" s="6"/>
      <c r="D19" s="5" t="s">
        <v>30</v>
      </c>
      <c r="E19" s="6">
        <v>200000</v>
      </c>
      <c r="F19" s="6">
        <v>200000</v>
      </c>
    </row>
    <row r="20" spans="1:6" x14ac:dyDescent="0.25">
      <c r="A20" s="5"/>
      <c r="B20" s="6"/>
      <c r="C20" s="6"/>
      <c r="D20" s="5" t="s">
        <v>31</v>
      </c>
      <c r="E20" s="11">
        <f>SUM(E17:E19)</f>
        <v>1000000</v>
      </c>
      <c r="F20" s="11">
        <f>SUM(F17:F19)</f>
        <v>1000000</v>
      </c>
    </row>
    <row r="21" spans="1:6" x14ac:dyDescent="0.25">
      <c r="A21" s="7"/>
      <c r="B21" s="8">
        <f>B9+B14</f>
        <v>2990000</v>
      </c>
      <c r="C21" s="8">
        <f>C9+C14</f>
        <v>2950000</v>
      </c>
      <c r="D21" s="9" t="s">
        <v>32</v>
      </c>
      <c r="E21" s="8">
        <f>E9+E14+E20</f>
        <v>2165000</v>
      </c>
      <c r="F21" s="10">
        <f>F9+F14+F20</f>
        <v>2158000</v>
      </c>
    </row>
    <row r="22" spans="1:6" x14ac:dyDescent="0.25">
      <c r="A22" s="5" t="s">
        <v>33</v>
      </c>
      <c r="B22" s="5"/>
      <c r="C22" s="5"/>
      <c r="D22" s="5" t="s">
        <v>34</v>
      </c>
      <c r="E22" s="5"/>
      <c r="F22" s="5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</sheetData>
  <mergeCells count="1">
    <mergeCell ref="A1:F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资产负债表</vt:lpstr>
      <vt:lpstr>TotalAssets</vt:lpstr>
      <vt:lpstr>TotalLiabEquity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亚勇 曾</dc:creator>
  <cp:lastModifiedBy>亚勇 曾</cp:lastModifiedBy>
  <dcterms:created xsi:type="dcterms:W3CDTF">2026-05-05T08:26:52Z</dcterms:created>
  <dcterms:modified xsi:type="dcterms:W3CDTF">2026-05-05T08:26:54Z</dcterms:modified>
</cp:coreProperties>
</file>