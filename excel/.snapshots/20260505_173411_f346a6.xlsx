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E55C0CD-4BAA-45E0-BA35-B0ABBB68E5AC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C21" i="6"/>
  <c r="B21" i="6"/>
  <c r="F20" i="6"/>
  <c r="E20" i="6"/>
  <c r="F14" i="6"/>
  <c r="F21" i="6" s="1"/>
  <c r="E14" i="6"/>
  <c r="E21" i="6" s="1"/>
  <c r="C14" i="6"/>
  <c r="B14" i="6"/>
  <c r="F9" i="6"/>
  <c r="E9" i="6"/>
  <c r="C9" i="6"/>
  <c r="B9" i="6"/>
  <c r="A23" i="5"/>
  <c r="F21" i="5"/>
  <c r="E21" i="5"/>
  <c r="C21" i="5"/>
  <c r="F20" i="5"/>
  <c r="E20" i="5"/>
  <c r="F14" i="5"/>
  <c r="E14" i="5"/>
  <c r="C14" i="5"/>
  <c r="B14" i="5"/>
  <c r="F9" i="5"/>
  <c r="E9" i="5"/>
  <c r="C9" i="5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L5" i="2" s="1"/>
  <c r="H5" i="2"/>
  <c r="K4" i="2"/>
  <c r="J4" i="2"/>
  <c r="L4" i="2" s="1"/>
  <c r="H4" i="2"/>
  <c r="K3" i="2"/>
  <c r="K8" i="2" s="1"/>
  <c r="J3" i="2"/>
  <c r="H3" i="2"/>
  <c r="H2" i="2"/>
  <c r="F5" i="4" l="1"/>
  <c r="F9" i="4"/>
  <c r="F11" i="4" s="1"/>
  <c r="C9" i="4"/>
  <c r="C11" i="4" s="1"/>
  <c r="C5" i="4"/>
  <c r="D4" i="4"/>
  <c r="E4" i="4" s="1"/>
  <c r="B9" i="4"/>
  <c r="B5" i="4"/>
  <c r="D5" i="4" s="1"/>
  <c r="E5" i="4" s="1"/>
  <c r="D9" i="3"/>
  <c r="C19" i="3"/>
  <c r="C14" i="3"/>
  <c r="C20" i="3"/>
  <c r="C16" i="3"/>
  <c r="C17" i="3"/>
  <c r="C9" i="3"/>
  <c r="E9" i="3" s="1"/>
  <c r="F9" i="3" s="1"/>
  <c r="B10" i="3" s="1"/>
  <c r="C18" i="3"/>
  <c r="C15" i="3"/>
  <c r="C13" i="3"/>
  <c r="C12" i="3"/>
  <c r="C11" i="3"/>
  <c r="C10" i="3"/>
  <c r="L3" i="2"/>
  <c r="L8" i="2" s="1"/>
  <c r="J8" i="2"/>
  <c r="F12" i="4" l="1"/>
  <c r="F13" i="4"/>
  <c r="C12" i="4"/>
  <c r="C13" i="4" s="1"/>
  <c r="C14" i="4" s="1"/>
  <c r="D9" i="4"/>
  <c r="E9" i="4" s="1"/>
  <c r="B11" i="4"/>
  <c r="D10" i="3"/>
  <c r="E10" i="3" s="1"/>
  <c r="F10" i="3" s="1"/>
  <c r="B11" i="3" s="1"/>
  <c r="B12" i="4" l="1"/>
  <c r="D12" i="4" s="1"/>
  <c r="E12" i="4" s="1"/>
  <c r="D11" i="4"/>
  <c r="E11" i="4" s="1"/>
  <c r="B13" i="4"/>
  <c r="D11" i="3"/>
  <c r="E11" i="3" s="1"/>
  <c r="F11" i="3" s="1"/>
  <c r="B12" i="3" s="1"/>
  <c r="D13" i="4" l="1"/>
  <c r="E13" i="4" s="1"/>
  <c r="B14" i="4"/>
  <c r="D14" i="4" s="1"/>
  <c r="E14" i="4" s="1"/>
  <c r="D12" i="3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/>
  <c r="B17" i="3" s="1"/>
  <c r="F17" i="3" l="1"/>
  <c r="B18" i="3" s="1"/>
  <c r="D17" i="3"/>
  <c r="E17" i="3" s="1"/>
  <c r="D18" i="3" l="1"/>
  <c r="E18" i="3" s="1"/>
  <c r="F18" i="3"/>
  <c r="B19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<sst xmlns="http://schemas.openxmlformats.org/spreadsheetml/2006/main" count="201" uniqueCount="105">
  <si>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</si>
  <si>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</si>
  <si>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</si>
  <si>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</si>
  <si>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</si>
  <si>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</si>
  <si>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</si>
  <si>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</si>
  <si>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</si>
  <si>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</si>
  <si>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</si>
  <si>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</si>
  <si>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</si>
  <si>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</si>
  <si>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</si>
  <si>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</si>
  <si>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</si>
  <si>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</si>
  <si>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凭证日期</t>
  </si>
  <si>
    <t>借方金额</t>
  </si>
  <si>
    <t>贷方金额</t>
  </si>
  <si>
    <t>说明</t>
  </si>
  <si>
    <t>VLOOKUP校验</t>
  </si>
  <si>
    <t>科目类型汇总</t>
  </si>
  <si>
    <t>收到股东投资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</si>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</sst>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29" t="s">
        <v>18</v>
      </c>
      <c r="B1" s="29" t="s">
        <v>0</v>
      </c>
      <c r="C1" s="29" t="s">
        <v>1</v>
      </c>
      <c r="D1" s="29" t="s">
        <v>2</v>
      </c>
      <c r="E1" s="29" t="s">
        <v>19</v>
      </c>
      <c r="F1" s="29" t="s">
        <v>20</v>
      </c>
      <c r="G1" s="29" t="s">
        <v>21</v>
      </c>
      <c r="H1" t="s">
        <v>22</v>
      </c>
      <c r="I1" s="34" t="s">
        <v>23</v>
      </c>
      <c r="J1" s="35"/>
      <c r="K1" s="35"/>
      <c r="L1" s="35"/>
    </row>
    <row r="2" spans="1:12" x14ac:dyDescent="0.25">
      <c r="A2" s="30">
        <v>45662</v>
      </c>
      <c r="B2" s="22">
        <v>1001</v>
      </c>
      <c r="C2" s="22" t="s">
        <v>3</v>
      </c>
      <c r="D2" s="22" t="s">
        <v>4</v>
      </c>
      <c r="E2" s="23">
        <v>50000</v>
      </c>
      <c r="F2" s="23">
        <v>0</v>
      </c>
      <c r="G2" s="22" t="s">
        <v>24</v>
      </c>
      <c r="H2" s="33" t="str">
        <f>IF(VLOOKUP(B2,辅助表!$A:$C,2,0)=C2,"OK","科目名不符")</f>
        <v>OK</v>
      </c>
      <c r="I2" s="2" t="s">
        <v>2</v>
      </c>
      <c r="J2" s="2" t="s">
        <v>25</v>
      </c>
      <c r="K2" s="2" t="s">
        <v>26</v>
      </c>
      <c r="L2" s="2" t="s">
        <v>27</v>
      </c>
    </row>
    <row r="3" spans="1:12" x14ac:dyDescent="0.25">
      <c r="A3" s="30">
        <v>45662</v>
      </c>
      <c r="B3" s="22">
        <v>4001</v>
      </c>
      <c r="C3" s="22" t="s">
        <v>11</v>
      </c>
      <c r="D3" s="22" t="s">
        <v>12</v>
      </c>
      <c r="E3" s="23">
        <v>0</v>
      </c>
      <c r="F3" s="23">
        <v>50000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576000</v>
      </c>
      <c r="K3" s="19">
        <f>SUMIF($D$2:$D$17,I3,$F$2:$F$17)</f>
        <v>105500</v>
      </c>
      <c r="L3" s="19">
        <f>J3-K3</f>
        <v>470500</v>
      </c>
    </row>
    <row r="4" spans="1:12" x14ac:dyDescent="0.25">
      <c r="A4" s="30">
        <v>45667</v>
      </c>
      <c r="B4" s="22">
        <v>1002</v>
      </c>
      <c r="C4" s="22" t="s">
        <v>5</v>
      </c>
      <c r="D4" s="22" t="s">
        <v>4</v>
      </c>
      <c r="E4" s="23">
        <v>200000</v>
      </c>
      <c r="F4" s="23">
        <v>0</v>
      </c>
      <c r="G4" s="22" t="s">
        <v>28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45667</v>
      </c>
      <c r="B5" s="22">
        <v>2001</v>
      </c>
      <c r="C5" s="22" t="s">
        <v>8</v>
      </c>
      <c r="D5" s="22" t="s">
        <v>9</v>
      </c>
      <c r="E5" s="23">
        <v>0</v>
      </c>
      <c r="F5" s="23">
        <v>200000</v>
      </c>
      <c r="G5" s="22" t="s">
        <v>28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5001</v>
      </c>
      <c r="C6" s="22" t="s">
        <v>13</v>
      </c>
      <c r="D6" s="22" t="s">
        <v>14</v>
      </c>
      <c r="E6" s="23">
        <v>0</v>
      </c>
      <c r="F6" s="23">
        <v>85000</v>
      </c>
      <c r="G6" s="22" t="s">
        <v>29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45672</v>
      </c>
      <c r="B7" s="22">
        <v>1122</v>
      </c>
      <c r="C7" s="22" t="s">
        <v>6</v>
      </c>
      <c r="D7" s="22" t="s">
        <v>4</v>
      </c>
      <c r="E7" s="23">
        <v>85000</v>
      </c>
      <c r="F7" s="23">
        <v>0</v>
      </c>
      <c r="G7" s="22" t="s">
        <v>29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5401</v>
      </c>
      <c r="C8" s="22" t="s">
        <v>17</v>
      </c>
      <c r="D8" s="22" t="s">
        <v>16</v>
      </c>
      <c r="E8" s="23">
        <v>12000</v>
      </c>
      <c r="F8" s="23">
        <v>0</v>
      </c>
      <c r="G8" s="22" t="s">
        <v>30</v>
      </c>
      <c r="H8" s="33" t="str">
        <f>IF(VLOOKUP(B8,辅助表!$A:$C,2,0)=C8,"OK","科目名不符")</f>
        <v>OK</v>
      </c>
      <c r="I8" s="4" t="s">
        <v>31</v>
      </c>
      <c r="J8" s="31">
        <f>SUM(J3:J7)</f>
        <v>596500</v>
      </c>
      <c r="K8" s="31">
        <f>SUM(K3:K7)</f>
        <v>596500</v>
      </c>
      <c r="L8" s="32">
        <f>SUM(L3:L7)</f>
        <v>0</v>
      </c>
    </row>
    <row r="9" spans="1:12" x14ac:dyDescent="0.25">
      <c r="A9" s="30">
        <v>45677</v>
      </c>
      <c r="B9" s="22">
        <v>1002</v>
      </c>
      <c r="C9" s="22" t="s">
        <v>5</v>
      </c>
      <c r="D9" s="22" t="s">
        <v>4</v>
      </c>
      <c r="E9" s="23">
        <v>0</v>
      </c>
      <c r="F9" s="23">
        <v>12000</v>
      </c>
      <c r="G9" s="22" t="s">
        <v>30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1401</v>
      </c>
      <c r="C10" s="22" t="s">
        <v>7</v>
      </c>
      <c r="D10" s="22" t="s">
        <v>4</v>
      </c>
      <c r="E10" s="23">
        <v>36000</v>
      </c>
      <c r="F10" s="23">
        <v>0</v>
      </c>
      <c r="G10" s="22" t="s">
        <v>32</v>
      </c>
      <c r="H10" s="33" t="str">
        <f>IF(VLOOKUP(B10,辅助表!$A:$C,2,0)=C10,"OK","科目名不符")</f>
        <v>OK</v>
      </c>
    </row>
    <row r="11" spans="1:12" x14ac:dyDescent="0.25">
      <c r="A11" s="30">
        <v>45691</v>
      </c>
      <c r="B11" s="22">
        <v>2202</v>
      </c>
      <c r="C11" s="22" t="s">
        <v>10</v>
      </c>
      <c r="D11" s="22" t="s">
        <v>9</v>
      </c>
      <c r="E11" s="23">
        <v>0</v>
      </c>
      <c r="F11" s="23">
        <v>36000</v>
      </c>
      <c r="G11" s="22" t="s">
        <v>32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5101</v>
      </c>
      <c r="C12" s="22" t="s">
        <v>15</v>
      </c>
      <c r="D12" s="22" t="s">
        <v>16</v>
      </c>
      <c r="E12" s="23">
        <v>8500</v>
      </c>
      <c r="F12" s="23">
        <v>0</v>
      </c>
      <c r="G12" s="22" t="s">
        <v>33</v>
      </c>
      <c r="H12" s="33" t="str">
        <f>IF(VLOOKUP(B12,辅助表!$A:$C,2,0)=C12,"OK","科目名不符")</f>
        <v>OK</v>
      </c>
    </row>
    <row r="13" spans="1:12" x14ac:dyDescent="0.25">
      <c r="A13" s="30">
        <v>45698</v>
      </c>
      <c r="B13" s="22">
        <v>1002</v>
      </c>
      <c r="C13" s="22" t="s">
        <v>5</v>
      </c>
      <c r="D13" s="22" t="s">
        <v>4</v>
      </c>
      <c r="E13" s="23">
        <v>0</v>
      </c>
      <c r="F13" s="23">
        <v>8500</v>
      </c>
      <c r="G13" s="22" t="s">
        <v>33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5001</v>
      </c>
      <c r="C14" s="22" t="s">
        <v>13</v>
      </c>
      <c r="D14" s="22" t="s">
        <v>14</v>
      </c>
      <c r="E14" s="23">
        <v>0</v>
      </c>
      <c r="F14" s="23">
        <v>120000</v>
      </c>
      <c r="G14" s="22" t="s">
        <v>34</v>
      </c>
      <c r="H14" s="33" t="str">
        <f>IF(VLOOKUP(B14,辅助表!$A:$C,2,0)=C14,"OK","科目名不符")</f>
        <v>OK</v>
      </c>
    </row>
    <row r="15" spans="1:12" x14ac:dyDescent="0.25">
      <c r="A15" s="30">
        <v>45706</v>
      </c>
      <c r="B15" s="22">
        <v>1122</v>
      </c>
      <c r="C15" s="22" t="s">
        <v>6</v>
      </c>
      <c r="D15" s="22" t="s">
        <v>4</v>
      </c>
      <c r="E15" s="23">
        <v>120000</v>
      </c>
      <c r="F15" s="23">
        <v>0</v>
      </c>
      <c r="G15" s="22" t="s">
        <v>34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1002</v>
      </c>
      <c r="C16" s="22" t="s">
        <v>5</v>
      </c>
      <c r="D16" s="22" t="s">
        <v>4</v>
      </c>
      <c r="E16" s="23">
        <v>85000</v>
      </c>
      <c r="F16" s="23">
        <v>0</v>
      </c>
      <c r="G16" s="22" t="s">
        <v>35</v>
      </c>
      <c r="H16" s="33" t="str">
        <f>IF(VLOOKUP(B16,辅助表!$A:$C,2,0)=C16,"OK","科目名不符")</f>
        <v>OK</v>
      </c>
    </row>
    <row r="17" spans="1:8" x14ac:dyDescent="0.25">
      <c r="A17" s="30">
        <v>45717</v>
      </c>
      <c r="B17" s="22">
        <v>1122</v>
      </c>
      <c r="C17" s="22" t="s">
        <v>6</v>
      </c>
      <c r="D17" s="22" t="s">
        <v>4</v>
      </c>
      <c r="E17" s="23">
        <v>0</v>
      </c>
      <c r="F17" s="23">
        <v>85000</v>
      </c>
      <c r="G17" s="22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2026-05-05T09:34:11Z</dcterms:modified>
</cp:coreProperties>
</file>