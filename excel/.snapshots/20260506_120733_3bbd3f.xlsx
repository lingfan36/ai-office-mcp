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5568683-AB93-4E7F-99C6-69610CD64E79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pivotCaches>
    <pivotCache cacheId="16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<sst xmlns="http://schemas.openxmlformats.org/spreadsheetml/2006/main" count="271" uniqueCount="106">
  <si>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</si>
  <si>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</si>
  <si>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</si>
  <si>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</si>
  <si>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</si>
  <si>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</si>
  <si>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</si>
  <si>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</si>
  <si>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</si>
  <si>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</si>
  <si>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</si>
  <si>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</si>
  <si>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</si>
  <si>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</si>
  <si>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</si>
  <si>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</si>
  <si>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</si>
  <si>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</si>
  <si>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</si>
  <si>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</si>
  <si>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</si>
  <si>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</si>
  <si>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</si>
  <si>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</si>
  <si>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</si>
  <si>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</si>
  <si>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</si>
  <si>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</si>
  <si>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</si>
  <si>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</si>
  <si>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</si>
  <si>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</si>
  <si>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</si>
  <si>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</si>
  <si>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</si>
  <si>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</si>
  <si>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</si>
  <si>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</si>
  <si>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</si>
  <si>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</si>
  <si>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</si>
  <si>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</si>
  <si>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</si>
  <si>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</si>
  <si>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</si>
  <si>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</si>
  <si>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</si>
  <si>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</si>
  <si>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</si>
  <si>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</si>
  <si>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</si>
  <si>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</si>
  <si>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</si>
  <si>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</si>
  <si>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</si>
  <si>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</si>
  <si>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</si>
  <si>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</si>
  <si>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</si>
  <si>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</si>
  <si>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</si>
  <si>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</si>
  <si>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</si>
  <si>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</si>
  <si>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</si>
  <si>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</si>
  <si>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</si>
  <si>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</si>
  <si>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</si>
  <si>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</si>
  <si>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</si>
  <si>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</si>
  <si>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</si>
  <si>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</si>
  <si>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</si>
  <si>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</si>
  <si>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</si>
  <si>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</si>
  <si>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</si>
  <si>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</si>
  <si>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</si>
  <si>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</si>
  <si>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</si>
  <si>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</si>
  <si>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</si>
  <si>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</si>
  <si>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</si>
  <si>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</si>
  <si>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</si>
  <si>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</si>
  <si>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</si>
  <si>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</si>
  <si>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</si>
  <si>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</si>
  <si>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</si>
  <si>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</si>
  <si>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</si>
  <si>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</si>
  <si>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</si>
  <si>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</si>
  <si>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</si>
  <si>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 &amp; 社保数据透视</t>
  </si>
  <si>
    <t>▌ 薪酬汇总（按部门）</t>
  </si>
  <si>
    <t>行标签</t>
  </si>
  <si>
    <t>总计</t>
  </si>
  <si>
    <t>▌ 社保 &amp; 公积金汇总（按部门）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</si>
</sst>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1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 applyAlignment="1">
      <alignment horizontal="left" indent="1"/>
    </xf>
    <xf numFmtId="4" fontId="0" fillId="0" borderId="0" xfId="0" applyNumberFormat="1" applyAlignment="1">
      <alignment horizontal="left" indent="2"/>
    </xf>
    <xf numFmtId="4" fontId="0" fillId="0" borderId="0" xfId="0" applyNumberFormat="1" applyAlignment="1">
      <alignment horizontal="left" indent="3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曾亚勇" refreshedDate="46148.505251967596" createdVersion="8" refreshedVersion="8" minRefreshableVersion="3" recordCount="15" xr:uid="{E9F90ED7-F03F-4DAB-87BF-43937BB625CC}">
  <cacheSource type="worksheet">
    <worksheetSource ref="A2:K17" sheet="薪酬统计"/>
  </cacheSource>
  <cacheFields count="11">
    <cacheField name="编号" numFmtId="0">
      <sharedItems/>
    </cacheField>
    <cacheField name="姓名" numFmtId="0">
      <sharedItems/>
    </cacheField>
    <cacheField name="部门" numFmtId="0">
      <sharedItems count="5">
        <s v="研发部"/>
        <s v="市场部"/>
        <s v="财务部"/>
        <s v="人事部"/>
        <s v="运营部"/>
      </sharedItems>
    </cacheField>
    <cacheField name="基本工资" numFmtId="4">
      <sharedItems containsSemiMixedTypes="0" containsString="0" containsNumber="1" containsInteger="1" minValue="6500" maxValue="15000"/>
    </cacheField>
    <cacheField name="岗位工资" numFmtId="4">
      <sharedItems containsSemiMixedTypes="0" containsString="0" containsNumber="1" containsInteger="1" minValue="1500" maxValue="8000"/>
    </cacheField>
    <cacheField name="绩效工资" numFmtId="4">
      <sharedItems containsSemiMixedTypes="0" containsString="0" containsNumber="1" containsInteger="1" minValue="1500" maxValue="8000"/>
    </cacheField>
    <cacheField name="餐补/交补" numFmtId="4">
      <sharedItems containsSemiMixedTypes="0" containsString="0" containsNumber="1" containsInteger="1" minValue="500" maxValue="500"/>
    </cacheField>
    <cacheField name="应发合计" numFmtId="4">
      <sharedItems containsSemiMixedTypes="0" containsString="0" containsNumber="1" containsInteger="1" minValue="10000" maxValue="29500" count="12">
        <n v="29500"/>
        <n v="22000"/>
        <n v="16500"/>
        <n v="14500"/>
        <n v="19500"/>
        <n v="11500"/>
        <n v="24500"/>
        <n v="12500"/>
        <n v="10000"/>
        <n v="21500"/>
        <n v="12000"/>
        <n v="11000"/>
      </sharedItems>
    </cacheField>
    <cacheField name="社保个人" numFmtId="4">
      <sharedItems containsSemiMixedTypes="0" containsString="0" containsNumber="1" minValue="682.5" maxValue="1575"/>
    </cacheField>
    <cacheField name="个人所得税" numFmtId="4">
      <sharedItems containsSemiMixedTypes="0" containsString="0" containsNumber="1" minValue="129.53" maxValue="690.9" count="14">
        <n v="687.75"/>
        <n v="472.2"/>
        <n v="313.5"/>
        <n v="256.64999999999998"/>
        <n v="690.9"/>
        <n v="403.5"/>
        <n v="172.95"/>
        <n v="544.04999999999995"/>
        <n v="199.8"/>
        <n v="129.53"/>
        <n v="457.2"/>
        <n v="186.38"/>
        <n v="460.35"/>
        <n v="157.94999999999999"/>
      </sharedItems>
    </cacheField>
    <cacheField name="实发工资" numFmtId="4">
      <sharedItems containsSemiMixedTypes="0" containsString="0" containsNumber="1" minValue="9187.9699999999993" maxValue="27339.1" count="14">
        <n v="27237.25"/>
        <n v="20267.8"/>
        <n v="15136.5"/>
        <n v="13298.35"/>
        <n v="27339.1"/>
        <n v="18046.5"/>
        <n v="10592.05"/>
        <n v="22590.95"/>
        <n v="11460.2"/>
        <n v="9187.9699999999993"/>
        <n v="19782.8"/>
        <n v="11026.12"/>
        <n v="19884.650000000001"/>
        <n v="10107.04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E001"/>
    <s v="张明"/>
    <x v="0"/>
    <n v="15000"/>
    <n v="8000"/>
    <n v="6000"/>
    <n v="500"/>
    <x v="0"/>
    <n v="1575"/>
    <x v="0"/>
    <x v="0"/>
  </r>
  <r>
    <s v="E002"/>
    <s v="李娜"/>
    <x v="0"/>
    <n v="12000"/>
    <n v="5000"/>
    <n v="4500"/>
    <n v="500"/>
    <x v="1"/>
    <n v="1260"/>
    <x v="1"/>
    <x v="1"/>
  </r>
  <r>
    <s v="E003"/>
    <s v="王强"/>
    <x v="0"/>
    <n v="10000"/>
    <n v="3000"/>
    <n v="3000"/>
    <n v="500"/>
    <x v="2"/>
    <n v="1050"/>
    <x v="2"/>
    <x v="2"/>
  </r>
  <r>
    <s v="E004"/>
    <s v="赵磊"/>
    <x v="0"/>
    <n v="9000"/>
    <n v="2500"/>
    <n v="2500"/>
    <n v="500"/>
    <x v="3"/>
    <n v="945"/>
    <x v="3"/>
    <x v="3"/>
  </r>
  <r>
    <s v="E005"/>
    <s v="陈静"/>
    <x v="1"/>
    <n v="14000"/>
    <n v="7000"/>
    <n v="8000"/>
    <n v="500"/>
    <x v="0"/>
    <n v="1470"/>
    <x v="4"/>
    <x v="4"/>
  </r>
  <r>
    <s v="E006"/>
    <s v="刘洋"/>
    <x v="1"/>
    <n v="10000"/>
    <n v="4000"/>
    <n v="5000"/>
    <n v="500"/>
    <x v="4"/>
    <n v="1050"/>
    <x v="5"/>
    <x v="5"/>
  </r>
  <r>
    <s v="E007"/>
    <s v="孙芳"/>
    <x v="1"/>
    <n v="7000"/>
    <n v="2000"/>
    <n v="2000"/>
    <n v="500"/>
    <x v="5"/>
    <n v="735"/>
    <x v="6"/>
    <x v="6"/>
  </r>
  <r>
    <s v="E008"/>
    <s v="周涛"/>
    <x v="2"/>
    <n v="13000"/>
    <n v="6000"/>
    <n v="5000"/>
    <n v="500"/>
    <x v="6"/>
    <n v="1365"/>
    <x v="7"/>
    <x v="7"/>
  </r>
  <r>
    <s v="E009"/>
    <s v="吴梅"/>
    <x v="2"/>
    <n v="8000"/>
    <n v="2000"/>
    <n v="2000"/>
    <n v="500"/>
    <x v="7"/>
    <n v="840"/>
    <x v="8"/>
    <x v="8"/>
  </r>
  <r>
    <s v="E010"/>
    <s v="郑华"/>
    <x v="2"/>
    <n v="6500"/>
    <n v="1500"/>
    <n v="1500"/>
    <n v="500"/>
    <x v="8"/>
    <n v="682.5"/>
    <x v="9"/>
    <x v="9"/>
  </r>
  <r>
    <s v="E011"/>
    <s v="冯丽"/>
    <x v="3"/>
    <n v="12000"/>
    <n v="5000"/>
    <n v="4000"/>
    <n v="500"/>
    <x v="9"/>
    <n v="1260"/>
    <x v="10"/>
    <x v="10"/>
  </r>
  <r>
    <s v="E012"/>
    <s v="陈刚"/>
    <x v="3"/>
    <n v="7500"/>
    <n v="2000"/>
    <n v="2000"/>
    <n v="500"/>
    <x v="10"/>
    <n v="787.5"/>
    <x v="11"/>
    <x v="11"/>
  </r>
  <r>
    <s v="E013"/>
    <s v="褚燕"/>
    <x v="4"/>
    <n v="11000"/>
    <n v="5000"/>
    <n v="5000"/>
    <n v="500"/>
    <x v="9"/>
    <n v="1155"/>
    <x v="12"/>
    <x v="12"/>
  </r>
  <r>
    <s v="E014"/>
    <s v="卫东"/>
    <x v="4"/>
    <n v="7000"/>
    <n v="2000"/>
    <n v="2000"/>
    <n v="500"/>
    <x v="5"/>
    <n v="735"/>
    <x v="6"/>
    <x v="6"/>
  </r>
  <r>
    <s v="E015"/>
    <s v="蒋涛"/>
    <x v="4"/>
    <n v="7000"/>
    <n v="2000"/>
    <n v="1500"/>
    <n v="500"/>
    <x v="11"/>
    <n v="735"/>
    <x v="13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98981-5016-4E73-9E8E-7BD02CECD5D2}" name="薪酬透视" cacheId="16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54" firstHeaderRow="1" firstDataRow="1" firstDataCol="1"/>
  <pivotFields count="11"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numFmtId="4" showAll="0"/>
    <pivotField numFmtId="4" showAll="0"/>
    <pivotField numFmtId="4" showAll="0"/>
    <pivotField numFmtId="4" showAll="0"/>
    <pivotField axis="axisRow" numFmtId="4" showAll="0">
      <items count="13">
        <item x="8"/>
        <item x="11"/>
        <item x="5"/>
        <item x="10"/>
        <item x="7"/>
        <item x="3"/>
        <item x="2"/>
        <item x="4"/>
        <item x="9"/>
        <item x="1"/>
        <item x="6"/>
        <item x="0"/>
        <item t="default"/>
      </items>
    </pivotField>
    <pivotField numFmtId="4" showAll="0"/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</pivotFields>
  <rowFields count="4">
    <field x="2"/>
    <field x="7"/>
    <field x="10"/>
    <field x="9"/>
  </rowFields>
  <rowItems count="51">
    <i>
      <x/>
    </i>
    <i r="1">
      <x/>
    </i>
    <i r="2">
      <x/>
    </i>
    <i r="3">
      <x/>
    </i>
    <i r="1">
      <x v="4"/>
    </i>
    <i r="2">
      <x v="4"/>
    </i>
    <i r="3">
      <x v="4"/>
    </i>
    <i r="1">
      <x v="10"/>
    </i>
    <i r="2">
      <x v="11"/>
    </i>
    <i r="3">
      <x v="11"/>
    </i>
    <i>
      <x v="1"/>
    </i>
    <i r="1">
      <x v="3"/>
    </i>
    <i r="2">
      <x v="3"/>
    </i>
    <i r="3">
      <x v="3"/>
    </i>
    <i r="1">
      <x v="8"/>
    </i>
    <i r="2">
      <x v="8"/>
    </i>
    <i r="3">
      <x v="8"/>
    </i>
    <i>
      <x v="2"/>
    </i>
    <i r="1">
      <x v="2"/>
    </i>
    <i r="2">
      <x v="2"/>
    </i>
    <i r="3">
      <x v="2"/>
    </i>
    <i r="1">
      <x v="7"/>
    </i>
    <i r="2">
      <x v="7"/>
    </i>
    <i r="3">
      <x v="7"/>
    </i>
    <i r="1">
      <x v="11"/>
    </i>
    <i r="2">
      <x v="13"/>
    </i>
    <i r="3">
      <x v="13"/>
    </i>
    <i>
      <x v="3"/>
    </i>
    <i r="1">
      <x v="5"/>
    </i>
    <i r="2">
      <x v="5"/>
    </i>
    <i r="3">
      <x v="5"/>
    </i>
    <i r="1">
      <x v="6"/>
    </i>
    <i r="2">
      <x v="6"/>
    </i>
    <i r="3">
      <x v="6"/>
    </i>
    <i r="1">
      <x v="9"/>
    </i>
    <i r="2">
      <x v="10"/>
    </i>
    <i r="3">
      <x v="10"/>
    </i>
    <i r="1">
      <x v="11"/>
    </i>
    <i r="2">
      <x v="12"/>
    </i>
    <i r="3">
      <x v="12"/>
    </i>
    <i>
      <x v="4"/>
    </i>
    <i r="1">
      <x v="1"/>
    </i>
    <i r="2">
      <x v="1"/>
    </i>
    <i r="3">
      <x v="1"/>
    </i>
    <i r="1">
      <x v="2"/>
    </i>
    <i r="2">
      <x v="2"/>
    </i>
    <i r="3">
      <x v="2"/>
    </i>
    <i r="1">
      <x v="8"/>
    </i>
    <i r="2">
      <x v="9"/>
    </i>
    <i r="3"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9249-587D-4E2F-80F0-EF8668AF2D91}">
  <sheetPr>
    <tabColor rgb="FFC00000"/>
  </sheetPr>
  <dimension ref="A1:H58"/>
  <sheetViews>
    <sheetView tabSelected="1" workbookViewId="0"/>
  </sheetViews>
  <sheetFormatPr defaultRowHeight="14" x14ac:dyDescent="0.25"/>
  <cols>
    <col min="1" max="1" width="20.54296875" bestFit="1" customWidth="1"/>
  </cols>
  <sheetData>
    <row r="1" spans="1:8" ht="34" customHeight="1" x14ac:dyDescent="0.25">
      <c r="A1" s="28" t="s">
        <v>101</v>
      </c>
      <c r="B1" s="23"/>
      <c r="C1" s="23"/>
      <c r="D1" s="23"/>
      <c r="E1" s="23"/>
      <c r="F1" s="23"/>
      <c r="G1" s="23"/>
      <c r="H1" s="23"/>
    </row>
    <row r="2" spans="1:8" ht="20" customHeight="1" x14ac:dyDescent="0.25">
      <c r="A2" s="29" t="s">
        <v>102</v>
      </c>
      <c r="B2" s="29"/>
      <c r="C2" s="29"/>
      <c r="D2" s="29"/>
      <c r="E2" s="29"/>
      <c r="F2" s="29"/>
      <c r="G2" s="29"/>
      <c r="H2" s="29"/>
    </row>
    <row r="3" spans="1:8" x14ac:dyDescent="0.25">
      <c r="A3" s="30" t="s">
        <v>103</v>
      </c>
    </row>
    <row r="4" spans="1:8" x14ac:dyDescent="0.25">
      <c r="A4" s="31" t="s">
        <v>38</v>
      </c>
    </row>
    <row r="5" spans="1:8" x14ac:dyDescent="0.25">
      <c r="A5" s="32">
        <v>10000</v>
      </c>
    </row>
    <row r="6" spans="1:8" x14ac:dyDescent="0.25">
      <c r="A6" s="33">
        <v>9187.9699999999993</v>
      </c>
    </row>
    <row r="7" spans="1:8" x14ac:dyDescent="0.25">
      <c r="A7" s="34">
        <v>129.53</v>
      </c>
    </row>
    <row r="8" spans="1:8" x14ac:dyDescent="0.25">
      <c r="A8" s="32">
        <v>12500</v>
      </c>
    </row>
    <row r="9" spans="1:8" x14ac:dyDescent="0.25">
      <c r="A9" s="33">
        <v>11460.2</v>
      </c>
    </row>
    <row r="10" spans="1:8" x14ac:dyDescent="0.25">
      <c r="A10" s="34">
        <v>199.8</v>
      </c>
    </row>
    <row r="11" spans="1:8" x14ac:dyDescent="0.25">
      <c r="A11" s="32">
        <v>24500</v>
      </c>
    </row>
    <row r="12" spans="1:8" x14ac:dyDescent="0.25">
      <c r="A12" s="33">
        <v>22590.95</v>
      </c>
    </row>
    <row r="13" spans="1:8" x14ac:dyDescent="0.25">
      <c r="A13" s="34">
        <v>544.04999999999995</v>
      </c>
    </row>
    <row r="14" spans="1:8" x14ac:dyDescent="0.25">
      <c r="A14" s="31" t="s">
        <v>48</v>
      </c>
    </row>
    <row r="15" spans="1:8" x14ac:dyDescent="0.25">
      <c r="A15" s="32">
        <v>12000</v>
      </c>
    </row>
    <row r="16" spans="1:8" x14ac:dyDescent="0.25">
      <c r="A16" s="33">
        <v>11026.12</v>
      </c>
    </row>
    <row r="17" spans="1:1" x14ac:dyDescent="0.25">
      <c r="A17" s="34">
        <v>186.38</v>
      </c>
    </row>
    <row r="18" spans="1:1" x14ac:dyDescent="0.25">
      <c r="A18" s="32">
        <v>21500</v>
      </c>
    </row>
    <row r="19" spans="1:1" x14ac:dyDescent="0.25">
      <c r="A19" s="33">
        <v>19782.8</v>
      </c>
    </row>
    <row r="20" spans="1:1" x14ac:dyDescent="0.25">
      <c r="A20" s="34">
        <v>457.2</v>
      </c>
    </row>
    <row r="21" spans="1:1" x14ac:dyDescent="0.25">
      <c r="A21" s="31" t="s">
        <v>28</v>
      </c>
    </row>
    <row r="22" spans="1:1" x14ac:dyDescent="0.25">
      <c r="A22" s="32">
        <v>11500</v>
      </c>
    </row>
    <row r="23" spans="1:1" x14ac:dyDescent="0.25">
      <c r="A23" s="33">
        <v>10592.05</v>
      </c>
    </row>
    <row r="24" spans="1:1" x14ac:dyDescent="0.25">
      <c r="A24" s="34">
        <v>172.95</v>
      </c>
    </row>
    <row r="25" spans="1:1" x14ac:dyDescent="0.25">
      <c r="A25" s="32">
        <v>19500</v>
      </c>
    </row>
    <row r="26" spans="1:1" x14ac:dyDescent="0.25">
      <c r="A26" s="33">
        <v>18046.5</v>
      </c>
    </row>
    <row r="27" spans="1:1" x14ac:dyDescent="0.25">
      <c r="A27" s="34">
        <v>403.5</v>
      </c>
    </row>
    <row r="28" spans="1:1" x14ac:dyDescent="0.25">
      <c r="A28" s="32">
        <v>29500</v>
      </c>
    </row>
    <row r="29" spans="1:1" x14ac:dyDescent="0.25">
      <c r="A29" s="33">
        <v>27339.1</v>
      </c>
    </row>
    <row r="30" spans="1:1" x14ac:dyDescent="0.25">
      <c r="A30" s="34">
        <v>690.9</v>
      </c>
    </row>
    <row r="31" spans="1:1" x14ac:dyDescent="0.25">
      <c r="A31" s="31" t="s">
        <v>11</v>
      </c>
    </row>
    <row r="32" spans="1:1" x14ac:dyDescent="0.25">
      <c r="A32" s="32">
        <v>14500</v>
      </c>
    </row>
    <row r="33" spans="1:1" x14ac:dyDescent="0.25">
      <c r="A33" s="33">
        <v>13298.35</v>
      </c>
    </row>
    <row r="34" spans="1:1" x14ac:dyDescent="0.25">
      <c r="A34" s="34">
        <v>256.64999999999998</v>
      </c>
    </row>
    <row r="35" spans="1:1" x14ac:dyDescent="0.25">
      <c r="A35" s="32">
        <v>16500</v>
      </c>
    </row>
    <row r="36" spans="1:1" x14ac:dyDescent="0.25">
      <c r="A36" s="33">
        <v>15136.5</v>
      </c>
    </row>
    <row r="37" spans="1:1" x14ac:dyDescent="0.25">
      <c r="A37" s="34">
        <v>313.5</v>
      </c>
    </row>
    <row r="38" spans="1:1" x14ac:dyDescent="0.25">
      <c r="A38" s="32">
        <v>22000</v>
      </c>
    </row>
    <row r="39" spans="1:1" x14ac:dyDescent="0.25">
      <c r="A39" s="33">
        <v>20267.8</v>
      </c>
    </row>
    <row r="40" spans="1:1" x14ac:dyDescent="0.25">
      <c r="A40" s="34">
        <v>472.2</v>
      </c>
    </row>
    <row r="41" spans="1:1" x14ac:dyDescent="0.25">
      <c r="A41" s="32">
        <v>29500</v>
      </c>
    </row>
    <row r="42" spans="1:1" x14ac:dyDescent="0.25">
      <c r="A42" s="33">
        <v>27237.25</v>
      </c>
    </row>
    <row r="43" spans="1:1" x14ac:dyDescent="0.25">
      <c r="A43" s="34">
        <v>687.75</v>
      </c>
    </row>
    <row r="44" spans="1:1" x14ac:dyDescent="0.25">
      <c r="A44" s="31" t="s">
        <v>55</v>
      </c>
    </row>
    <row r="45" spans="1:1" x14ac:dyDescent="0.25">
      <c r="A45" s="32">
        <v>11000</v>
      </c>
    </row>
    <row r="46" spans="1:1" x14ac:dyDescent="0.25">
      <c r="A46" s="33">
        <v>10107.049999999999</v>
      </c>
    </row>
    <row r="47" spans="1:1" x14ac:dyDescent="0.25">
      <c r="A47" s="34">
        <v>157.94999999999999</v>
      </c>
    </row>
    <row r="48" spans="1:1" x14ac:dyDescent="0.25">
      <c r="A48" s="32">
        <v>11500</v>
      </c>
    </row>
    <row r="49" spans="1:8" x14ac:dyDescent="0.25">
      <c r="A49" s="33">
        <v>10592.05</v>
      </c>
    </row>
    <row r="50" spans="1:8" x14ac:dyDescent="0.25">
      <c r="A50" s="34">
        <v>172.95</v>
      </c>
    </row>
    <row r="51" spans="1:8" x14ac:dyDescent="0.25">
      <c r="A51" s="32">
        <v>21500</v>
      </c>
    </row>
    <row r="52" spans="1:8" x14ac:dyDescent="0.25">
      <c r="A52" s="33">
        <v>19884.650000000001</v>
      </c>
    </row>
    <row r="53" spans="1:8" x14ac:dyDescent="0.25">
      <c r="A53" s="34">
        <v>460.35</v>
      </c>
    </row>
    <row r="54" spans="1:8" x14ac:dyDescent="0.25">
      <c r="A54" s="31" t="s">
        <v>104</v>
      </c>
    </row>
    <row r="58" spans="1:8" ht="20" customHeight="1" x14ac:dyDescent="0.25">
      <c r="A58" s="29" t="s">
        <v>105</v>
      </c>
      <c r="B58" s="29"/>
      <c r="C58" s="29"/>
      <c r="D58" s="29"/>
      <c r="E58" s="29"/>
      <c r="F58" s="29"/>
      <c r="G58" s="29"/>
      <c r="H58" s="29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2026-05-06T04:07:33Z</dcterms:modified>
</cp:coreProperties>
</file>