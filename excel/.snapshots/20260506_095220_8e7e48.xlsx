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3559C3F9-7D6A-42F3-BFDE-29AE4DF53049}" xr6:coauthVersionLast="47" xr6:coauthVersionMax="47" xr10:uidLastSave="{00000000-0000-0000-0000-000000000000}"/>
  <bookViews>
    <workbookView xWindow="6340" yWindow="370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8" i="4" l="1"/>
  <c r="K8" i="4"/>
  <c r="L8" i="4"/>
  <c r="J7" i="4"/>
  <c r="L7" i="4" s="1"/>
  <c r="K7" i="4"/>
  <c r="J6" i="4"/>
  <c r="L6" i="4" s="1"/>
  <c r="K6" i="4"/>
  <c r="J5" i="4"/>
  <c r="L5" i="4" s="1"/>
  <c r="K5" i="4"/>
  <c r="J4" i="4"/>
  <c r="L4" i="4" s="1"/>
  <c r="K4" i="4"/>
  <c r="J3" i="4"/>
  <c r="L3" i="4" s="1"/>
  <c r="K3" i="4"/>
  <c r="I13" i="3"/>
  <c r="I12" i="3"/>
  <c r="B9" i="3"/>
  <c r="C9" i="3"/>
  <c r="D9" i="3"/>
  <c r="E9" i="3"/>
  <c r="F9" i="3"/>
  <c r="B10" i="3"/>
  <c r="C10" i="3"/>
  <c r="E10" i="3" s="1"/>
  <c r="D10" i="3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F10" i="3" l="1"/>
  <c r="B11" i="3" s="1"/>
  <c r="D11" i="3" l="1"/>
  <c r="E11" i="3" s="1"/>
  <c r="F11" i="3" s="1"/>
  <c r="B12" i="3" s="1"/>
  <c r="D12" i="3" l="1"/>
  <c r="E12" i="3" s="1"/>
  <c r="F12" i="3"/>
  <c r="B13" i="3" s="1"/>
  <c r="D13" i="3" l="1"/>
  <c r="E13" i="3" s="1"/>
  <c r="F13" i="3" s="1"/>
  <c r="B14" i="3" s="1"/>
  <c r="D14" i="3" l="1"/>
  <c r="E14" i="3" s="1"/>
  <c r="F14" i="3" s="1"/>
  <c r="B15" i="3" s="1"/>
  <c r="D15" i="3" l="1"/>
  <c r="E15" i="3" s="1"/>
  <c r="F15" i="3" s="1"/>
  <c r="B16" i="3" s="1"/>
  <c r="D16" i="3" l="1"/>
  <c r="E16" i="3" s="1"/>
  <c r="F16" i="3" s="1"/>
  <c r="B17" i="3" s="1"/>
  <c r="D17" i="3" l="1"/>
  <c r="E17" i="3" s="1"/>
  <c r="F17" i="3"/>
  <c r="B18" i="3" s="1"/>
  <c r="D18" i="3" l="1"/>
  <c r="E18" i="3" s="1"/>
  <c r="F18" i="3"/>
  <c r="B19" i="3" s="1"/>
  <c r="D19" i="3" l="1"/>
  <c r="E19" i="3" s="1"/>
  <c r="F19" i="3"/>
  <c r="B20" i="3" s="1"/>
  <c r="D20" i="3" l="1"/>
  <c r="E20" i="3" s="1"/>
  <c r="F20" i="3"/>
</calcChain>
</file>

<file path=xl/sharedStrings.xml><?xml version="1.0" encoding="utf-8"?>
<sst xmlns="http://schemas.openxmlformats.org/spreadsheetml/2006/main" count="140" uniqueCount="104">
  <si>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</si>
  <si>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</si>
  <si>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</si>
  <si>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</si>
  <si>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</si>
  <si>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</si>
  <si>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</si>
  <si>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</si>
  <si>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</si>
  <si>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</si>
  <si>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</si>
  <si>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</si>
  <si>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</si>
  <si>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</si>
  <si>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</si>
  <si>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</si>
  <si>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</si>
  <si>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</si>
  <si>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</si>
  <si>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</si>
  <si>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</si>
  <si>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</si>
  <si>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</si>
  <si>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</si>
  <si>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</si>
  <si>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</si>
  <si>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</si>
  <si>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</si>
  <si>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</si>
  <si>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</si>
  <si>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</si>
  <si>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</si>
  <si>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</si>
  <si>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</si>
  <si>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</si>
  <si>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</si>
  <si>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</si>
  <si>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</si>
  <si>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</si>
  <si>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</si>
  <si>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</si>
  <si>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</si>
  <si>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</si>
  <si>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</si>
  <si>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</si>
  <si>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</si>
  <si>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</si>
  <si>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</si>
  <si>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</si>
  <si>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</si>
  <si>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</si>
  <si>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</si>
  <si>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</si>
  <si>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</si>
  <si>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</si>
  <si>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</si>
  <si>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</si>
  <si>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</si>
  <si>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</si>
  <si>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</si>
  <si>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</si>
  <si>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</si>
  <si>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</si>
  <si>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</si>
  <si>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</si>
  <si>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</si>
  <si>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</si>
  <si>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</si>
  <si>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</si>
  <si>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</si>
  <si>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</si>
  <si>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</si>
  <si>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</si>
  <si>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</si>
  <si>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</si>
  <si>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</si>
  <si>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</si>
  <si>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</si>
  <si>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</si>
  <si>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</si>
  <si>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</si>
  <si>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</si>
  <si>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</si>
  <si>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</si>
  <si>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</si>
  <si>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</si>
  <si>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</si>
  <si>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</si>
  <si>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</si>
  <si>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</si>
  <si>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</si>
  <si>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</si>
  <si>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</si>
  <si>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</si>
  <si>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</si>
  <si>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</si>
  <si>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</si>
  <si>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</si>
  <si>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</si>
  <si>
    <t>科目类型汇总</t>
  </si>
  <si>
    <t>借方合计</t>
  </si>
  <si>
    <t>贷方合计</t>
  </si>
  <si>
    <t>净额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</si>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</sst>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0" fontId="4" fillId="2" borderId="0" xfId="0" applyFont="1" applyFill="1" applyAlignment="1">
      <alignment horizontal="center"/>
    </xf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EE955-562A-458F-9BA0-9E0DD5F20559}">
  <dimension ref="A1"/>
  <sheetViews>
    <sheetView tabSelected="1"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12ECF-9927-4F36-ABF2-E949864E3C8F}">
  <dimension ref="A1:L17"/>
  <sheetViews>
    <sheetView workbookViewId="0"/>
  </sheetViews>
  <sheetFormatPr defaultRowHeight="14" x14ac:dyDescent="0.25"/>
  <cols>
    <col min="5" max="6" width="11.36328125" bestFit="1" customWidth="1"/>
    <col min="10" max="11" width="11.36328125" bestFit="1" customWidth="1"/>
    <col min="12" max="12" width="12.453125" bestFit="1" customWidth="1"/>
  </cols>
  <sheetData>
    <row r="1" spans="1:12" x14ac:dyDescent="0.25">
      <c r="A1" s="34">
        <v>45662</v>
      </c>
      <c r="B1" s="25">
        <v>1001</v>
      </c>
      <c r="C1" s="25" t="s">
        <v>77</v>
      </c>
      <c r="D1" s="25" t="s">
        <v>1</v>
      </c>
      <c r="E1" s="26">
        <v>50000</v>
      </c>
      <c r="F1" s="26">
        <v>0</v>
      </c>
      <c r="G1" s="25" t="s">
        <v>78</v>
      </c>
      <c r="I1" s="35" t="s">
        <v>99</v>
      </c>
      <c r="J1" s="35"/>
      <c r="K1" s="35"/>
      <c r="L1" s="35"/>
    </row>
    <row r="2" spans="1:12" x14ac:dyDescent="0.25">
      <c r="A2" s="34">
        <v>45662</v>
      </c>
      <c r="B2" s="25">
        <v>4001</v>
      </c>
      <c r="C2" s="25" t="s">
        <v>79</v>
      </c>
      <c r="D2" s="25" t="s">
        <v>80</v>
      </c>
      <c r="E2" s="26">
        <v>0</v>
      </c>
      <c r="F2" s="26">
        <v>50000</v>
      </c>
      <c r="G2" s="25" t="s">
        <v>78</v>
      </c>
      <c r="I2" s="1" t="s">
        <v>73</v>
      </c>
      <c r="J2" s="1" t="s">
        <v>100</v>
      </c>
      <c r="K2" s="1" t="s">
        <v>101</v>
      </c>
      <c r="L2" s="1" t="s">
        <v>102</v>
      </c>
    </row>
    <row r="3" spans="1:12" x14ac:dyDescent="0.25">
      <c r="A3" s="34">
        <v>45667</v>
      </c>
      <c r="B3" s="25">
        <v>1002</v>
      </c>
      <c r="C3" s="25" t="s">
        <v>81</v>
      </c>
      <c r="D3" s="25" t="s">
        <v>1</v>
      </c>
      <c r="E3" s="26">
        <v>200000</v>
      </c>
      <c r="F3" s="26">
        <v>0</v>
      </c>
      <c r="G3" s="25" t="s">
        <v>82</v>
      </c>
      <c r="I3" t="s">
        <v>1</v>
      </c>
      <c r="J3" s="22">
        <f>SUMIF($D$2:$D$17,I3,$E$2:$E$17)</f>
        <v>526000</v>
      </c>
      <c r="K3" s="22">
        <f>SUMIF($D$2:$D$17,I3,$F$2:$F$17)</f>
        <v>105500</v>
      </c>
      <c r="L3" s="22">
        <f>J3-K3</f>
        <v>420500</v>
      </c>
    </row>
    <row r="4" spans="1:12" x14ac:dyDescent="0.25">
      <c r="A4" s="34">
        <v>45667</v>
      </c>
      <c r="B4" s="25">
        <v>2001</v>
      </c>
      <c r="C4" s="25" t="s">
        <v>83</v>
      </c>
      <c r="D4" s="25" t="s">
        <v>84</v>
      </c>
      <c r="E4" s="26">
        <v>0</v>
      </c>
      <c r="F4" s="26">
        <v>200000</v>
      </c>
      <c r="G4" s="25" t="s">
        <v>82</v>
      </c>
      <c r="I4" t="s">
        <v>84</v>
      </c>
      <c r="J4" s="22">
        <f>SUMIF($D$2:$D$17,I4,$E$2:$E$17)</f>
        <v>0</v>
      </c>
      <c r="K4" s="22">
        <f>SUMIF($D$2:$D$17,I4,$F$2:$F$17)</f>
        <v>236000</v>
      </c>
      <c r="L4" s="22">
        <f>J4-K4</f>
        <v>-236000</v>
      </c>
    </row>
    <row r="5" spans="1:12" x14ac:dyDescent="0.25">
      <c r="A5" s="34">
        <v>45672</v>
      </c>
      <c r="B5" s="25">
        <v>5001</v>
      </c>
      <c r="C5" s="25" t="s">
        <v>85</v>
      </c>
      <c r="D5" s="25" t="s">
        <v>86</v>
      </c>
      <c r="E5" s="26">
        <v>0</v>
      </c>
      <c r="F5" s="26">
        <v>85000</v>
      </c>
      <c r="G5" s="25" t="s">
        <v>87</v>
      </c>
      <c r="I5" t="s">
        <v>80</v>
      </c>
      <c r="J5" s="22">
        <f>SUMIF($D$2:$D$17,I5,$E$2:$E$17)</f>
        <v>0</v>
      </c>
      <c r="K5" s="22">
        <f>SUMIF($D$2:$D$17,I5,$F$2:$F$17)</f>
        <v>50000</v>
      </c>
      <c r="L5" s="22">
        <f>J5-K5</f>
        <v>-50000</v>
      </c>
    </row>
    <row r="6" spans="1:12" x14ac:dyDescent="0.25">
      <c r="A6" s="34">
        <v>45672</v>
      </c>
      <c r="B6" s="25">
        <v>1122</v>
      </c>
      <c r="C6" s="25" t="s">
        <v>88</v>
      </c>
      <c r="D6" s="25" t="s">
        <v>1</v>
      </c>
      <c r="E6" s="26">
        <v>85000</v>
      </c>
      <c r="F6" s="26">
        <v>0</v>
      </c>
      <c r="G6" s="25" t="s">
        <v>87</v>
      </c>
      <c r="I6" t="s">
        <v>86</v>
      </c>
      <c r="J6" s="22">
        <f>SUMIF($D$2:$D$17,I6,$E$2:$E$17)</f>
        <v>0</v>
      </c>
      <c r="K6" s="22">
        <f>SUMIF($D$2:$D$17,I6,$F$2:$F$17)</f>
        <v>205000</v>
      </c>
      <c r="L6" s="22">
        <f>J6-K6</f>
        <v>-205000</v>
      </c>
    </row>
    <row r="7" spans="1:12" x14ac:dyDescent="0.25">
      <c r="A7" s="34">
        <v>45677</v>
      </c>
      <c r="B7" s="25">
        <v>5401</v>
      </c>
      <c r="C7" s="25" t="s">
        <v>89</v>
      </c>
      <c r="D7" s="25" t="s">
        <v>90</v>
      </c>
      <c r="E7" s="26">
        <v>12000</v>
      </c>
      <c r="F7" s="26">
        <v>0</v>
      </c>
      <c r="G7" s="25" t="s">
        <v>91</v>
      </c>
      <c r="I7" t="s">
        <v>90</v>
      </c>
      <c r="J7" s="22">
        <f>SUMIF($D$2:$D$17,I7,$E$2:$E$17)</f>
        <v>20500</v>
      </c>
      <c r="K7" s="22">
        <f>SUMIF($D$2:$D$17,I7,$F$2:$F$17)</f>
        <v>0</v>
      </c>
      <c r="L7" s="22">
        <f>J7-K7</f>
        <v>20500</v>
      </c>
    </row>
    <row r="8" spans="1:12" x14ac:dyDescent="0.25">
      <c r="A8" s="34">
        <v>45677</v>
      </c>
      <c r="B8" s="25">
        <v>1002</v>
      </c>
      <c r="C8" s="25" t="s">
        <v>81</v>
      </c>
      <c r="D8" s="25" t="s">
        <v>1</v>
      </c>
      <c r="E8" s="26">
        <v>0</v>
      </c>
      <c r="F8" s="26">
        <v>12000</v>
      </c>
      <c r="G8" s="25" t="s">
        <v>91</v>
      </c>
      <c r="I8" t="s">
        <v>103</v>
      </c>
      <c r="J8" s="22">
        <f>SUM(J3:J7)</f>
        <v>546500</v>
      </c>
      <c r="K8" s="22">
        <f>SUM(K3:K7)</f>
        <v>596500</v>
      </c>
      <c r="L8" s="22">
        <f>SUM(L3:L7)</f>
        <v>-50000</v>
      </c>
    </row>
    <row r="9" spans="1:12" x14ac:dyDescent="0.25">
      <c r="A9" s="34">
        <v>45691</v>
      </c>
      <c r="B9" s="25">
        <v>1401</v>
      </c>
      <c r="C9" s="25" t="s">
        <v>92</v>
      </c>
      <c r="D9" s="25" t="s">
        <v>1</v>
      </c>
      <c r="E9" s="26">
        <v>36000</v>
      </c>
      <c r="F9" s="26">
        <v>0</v>
      </c>
      <c r="G9" s="25" t="s">
        <v>93</v>
      </c>
    </row>
    <row r="10" spans="1:12" x14ac:dyDescent="0.25">
      <c r="A10" s="34">
        <v>45691</v>
      </c>
      <c r="B10" s="25">
        <v>2202</v>
      </c>
      <c r="C10" s="25" t="s">
        <v>94</v>
      </c>
      <c r="D10" s="25" t="s">
        <v>84</v>
      </c>
      <c r="E10" s="26">
        <v>0</v>
      </c>
      <c r="F10" s="26">
        <v>36000</v>
      </c>
      <c r="G10" s="25" t="s">
        <v>93</v>
      </c>
    </row>
    <row r="11" spans="1:12" x14ac:dyDescent="0.25">
      <c r="A11" s="34">
        <v>45698</v>
      </c>
      <c r="B11" s="25">
        <v>5101</v>
      </c>
      <c r="C11" s="25" t="s">
        <v>95</v>
      </c>
      <c r="D11" s="25" t="s">
        <v>90</v>
      </c>
      <c r="E11" s="26">
        <v>8500</v>
      </c>
      <c r="F11" s="26">
        <v>0</v>
      </c>
      <c r="G11" s="25" t="s">
        <v>96</v>
      </c>
    </row>
    <row r="12" spans="1:12" x14ac:dyDescent="0.25">
      <c r="A12" s="34">
        <v>45698</v>
      </c>
      <c r="B12" s="25">
        <v>1002</v>
      </c>
      <c r="C12" s="25" t="s">
        <v>81</v>
      </c>
      <c r="D12" s="25" t="s">
        <v>1</v>
      </c>
      <c r="E12" s="26">
        <v>0</v>
      </c>
      <c r="F12" s="26">
        <v>8500</v>
      </c>
      <c r="G12" s="25" t="s">
        <v>96</v>
      </c>
    </row>
    <row r="13" spans="1:12" x14ac:dyDescent="0.25">
      <c r="A13" s="34">
        <v>45706</v>
      </c>
      <c r="B13" s="25">
        <v>5001</v>
      </c>
      <c r="C13" s="25" t="s">
        <v>85</v>
      </c>
      <c r="D13" s="25" t="s">
        <v>86</v>
      </c>
      <c r="E13" s="26">
        <v>0</v>
      </c>
      <c r="F13" s="26">
        <v>120000</v>
      </c>
      <c r="G13" s="25" t="s">
        <v>97</v>
      </c>
    </row>
    <row r="14" spans="1:12" x14ac:dyDescent="0.25">
      <c r="A14" s="34">
        <v>45706</v>
      </c>
      <c r="B14" s="25">
        <v>1122</v>
      </c>
      <c r="C14" s="25" t="s">
        <v>88</v>
      </c>
      <c r="D14" s="25" t="s">
        <v>1</v>
      </c>
      <c r="E14" s="26">
        <v>120000</v>
      </c>
      <c r="F14" s="26">
        <v>0</v>
      </c>
      <c r="G14" s="25" t="s">
        <v>97</v>
      </c>
    </row>
    <row r="15" spans="1:12" x14ac:dyDescent="0.25">
      <c r="A15" s="34">
        <v>45717</v>
      </c>
      <c r="B15" s="25">
        <v>1002</v>
      </c>
      <c r="C15" s="25" t="s">
        <v>81</v>
      </c>
      <c r="D15" s="25" t="s">
        <v>1</v>
      </c>
      <c r="E15" s="26">
        <v>85000</v>
      </c>
      <c r="F15" s="26">
        <v>0</v>
      </c>
      <c r="G15" s="25" t="s">
        <v>98</v>
      </c>
    </row>
    <row r="16" spans="1:12" x14ac:dyDescent="0.25">
      <c r="A16" s="34">
        <v>45717</v>
      </c>
      <c r="B16" s="25">
        <v>1122</v>
      </c>
      <c r="C16" s="25" t="s">
        <v>88</v>
      </c>
      <c r="D16" s="25" t="s">
        <v>1</v>
      </c>
      <c r="E16" s="26">
        <v>0</v>
      </c>
      <c r="F16" s="26">
        <v>85000</v>
      </c>
      <c r="G16" s="25" t="s">
        <v>98</v>
      </c>
    </row>
    <row r="17" spans="1:7" x14ac:dyDescent="0.25">
      <c r="A17" s="33" t="s">
        <v>70</v>
      </c>
      <c r="B17" s="33" t="s">
        <v>71</v>
      </c>
      <c r="C17" s="33" t="s">
        <v>72</v>
      </c>
      <c r="D17" s="33" t="s">
        <v>73</v>
      </c>
      <c r="E17" s="33" t="s">
        <v>74</v>
      </c>
      <c r="F17" s="33" t="s">
        <v>75</v>
      </c>
      <c r="G17" s="33" t="s">
        <v>76</v>
      </c>
    </row>
  </sheetData>
  <sortState xmlns:xlrd2="http://schemas.microsoft.com/office/spreadsheetml/2017/richdata2" ref="A1:G17">
    <sortCondition ref="A2"/>
  </sortState>
  <mergeCells count="1">
    <mergeCell ref="I1:L1"/>
  </mergeCells>
  <phoneticPr fontId="1" type="noConversion"/>
  <dataValidations count="2">
    <dataValidation type="list" allowBlank="1" showInputMessage="1" showErrorMessage="1" prompt="请选择科目类型" sqref="D2:D17" xr:uid="{31FCF7CC-71A2-47E7-AD2C-4CA9F33C6E29}">
      <formula1>"资产,负债,权益,收入,费用"</formula1>
    </dataValidation>
    <dataValidation type="decimal" operator="greaterThanOrEqual" allowBlank="1" showInputMessage="1" showErrorMessage="1" error="金额不能为负数" sqref="E2:F17" xr:uid="{752FBFEA-5BA6-4775-8F71-2C58EC65DBEA}">
      <formula1>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058D4-34FE-442A-A424-A67C04C60E05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1" t="s">
        <v>54</v>
      </c>
      <c r="B1" s="21"/>
      <c r="C1" s="21"/>
      <c r="D1" s="21"/>
      <c r="E1" s="21"/>
      <c r="F1" s="21"/>
      <c r="H1" s="27" t="s">
        <v>63</v>
      </c>
      <c r="I1" s="27"/>
      <c r="J1" s="27"/>
      <c r="K1" s="27"/>
      <c r="L1" s="27"/>
      <c r="M1" s="27"/>
      <c r="N1" s="27"/>
    </row>
    <row r="3" spans="1:14" x14ac:dyDescent="0.25">
      <c r="A3" t="s">
        <v>55</v>
      </c>
      <c r="B3" s="22">
        <v>1000000</v>
      </c>
      <c r="H3" t="s">
        <v>64</v>
      </c>
      <c r="I3" s="18">
        <v>0.1</v>
      </c>
    </row>
    <row r="4" spans="1:14" x14ac:dyDescent="0.25">
      <c r="A4" t="s">
        <v>56</v>
      </c>
      <c r="B4" s="22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2">
        <v>60</v>
      </c>
      <c r="H5" s="1" t="s">
        <v>66</v>
      </c>
      <c r="I5" s="1" t="s">
        <v>67</v>
      </c>
    </row>
    <row r="6" spans="1:14" x14ac:dyDescent="0.25">
      <c r="A6" s="23" t="s">
        <v>58</v>
      </c>
      <c r="B6" s="24">
        <f>PMT(B4/12,B5,-B3)</f>
        <v>18643.019241516649</v>
      </c>
      <c r="H6">
        <v>1</v>
      </c>
      <c r="I6" s="28">
        <v>80000</v>
      </c>
    </row>
    <row r="7" spans="1:14" x14ac:dyDescent="0.25">
      <c r="H7">
        <v>2</v>
      </c>
      <c r="I7" s="28">
        <v>110000</v>
      </c>
    </row>
    <row r="8" spans="1:14" x14ac:dyDescent="0.25">
      <c r="A8" s="1" t="s">
        <v>59</v>
      </c>
      <c r="B8" s="1" t="s">
        <v>3</v>
      </c>
      <c r="C8" s="1" t="s">
        <v>60</v>
      </c>
      <c r="D8" s="1" t="s">
        <v>61</v>
      </c>
      <c r="E8" s="1" t="s">
        <v>62</v>
      </c>
      <c r="F8" s="1" t="s">
        <v>2</v>
      </c>
      <c r="H8">
        <v>3</v>
      </c>
      <c r="I8" s="28">
        <v>150000</v>
      </c>
    </row>
    <row r="9" spans="1:14" x14ac:dyDescent="0.25">
      <c r="A9" s="25">
        <v>1</v>
      </c>
      <c r="B9" s="26">
        <f>$B$3</f>
        <v>1000000</v>
      </c>
      <c r="C9" s="26">
        <f>$B$6</f>
        <v>18643.019241516649</v>
      </c>
      <c r="D9" s="26">
        <f>B9*$B$4/12</f>
        <v>3750</v>
      </c>
      <c r="E9" s="26">
        <f>C9-D9</f>
        <v>14893.019241516649</v>
      </c>
      <c r="F9" s="26">
        <f>B9-E9</f>
        <v>985106.98075848341</v>
      </c>
      <c r="H9">
        <v>4</v>
      </c>
      <c r="I9" s="28">
        <v>200000</v>
      </c>
    </row>
    <row r="10" spans="1:14" x14ac:dyDescent="0.25">
      <c r="A10" s="25">
        <v>2</v>
      </c>
      <c r="B10" s="26">
        <f>F9</f>
        <v>985106.98075848341</v>
      </c>
      <c r="C10" s="26">
        <f>$B$6</f>
        <v>18643.019241516649</v>
      </c>
      <c r="D10" s="26">
        <f>B10*$B$4/12</f>
        <v>3694.1511778443128</v>
      </c>
      <c r="E10" s="26">
        <f>C10-D10</f>
        <v>14948.868063672337</v>
      </c>
      <c r="F10" s="26">
        <f>B10-E10</f>
        <v>970158.11269481108</v>
      </c>
      <c r="H10">
        <v>5</v>
      </c>
      <c r="I10" s="28">
        <v>280000</v>
      </c>
    </row>
    <row r="11" spans="1:14" x14ac:dyDescent="0.25">
      <c r="A11" s="25">
        <v>3</v>
      </c>
      <c r="B11" s="26">
        <f>F10</f>
        <v>970158.11269481108</v>
      </c>
      <c r="C11" s="26">
        <f>$B$6</f>
        <v>18643.019241516649</v>
      </c>
      <c r="D11" s="26">
        <f>B11*$B$4/12</f>
        <v>3638.0929226055414</v>
      </c>
      <c r="E11" s="26">
        <f>C11-D11</f>
        <v>15004.926318911108</v>
      </c>
      <c r="F11" s="26">
        <f>B11-E11</f>
        <v>955153.18637589994</v>
      </c>
    </row>
    <row r="12" spans="1:14" x14ac:dyDescent="0.25">
      <c r="A12" s="25">
        <v>4</v>
      </c>
      <c r="B12" s="26">
        <f>F11</f>
        <v>955153.18637589994</v>
      </c>
      <c r="C12" s="26">
        <f>$B$6</f>
        <v>18643.019241516649</v>
      </c>
      <c r="D12" s="26">
        <f>B12*$B$4/12</f>
        <v>3581.8244489096246</v>
      </c>
      <c r="E12" s="26">
        <f>C12-D12</f>
        <v>15061.194792607024</v>
      </c>
      <c r="F12" s="26">
        <f>B12-E12</f>
        <v>940091.99158329295</v>
      </c>
      <c r="H12" s="29" t="s">
        <v>68</v>
      </c>
      <c r="I12" s="31">
        <f>NPV(I3,I6:I10)+I4</f>
        <v>86794.245301177725</v>
      </c>
    </row>
    <row r="13" spans="1:14" x14ac:dyDescent="0.25">
      <c r="A13" s="25">
        <v>5</v>
      </c>
      <c r="B13" s="26">
        <f>F12</f>
        <v>940091.99158329295</v>
      </c>
      <c r="C13" s="26">
        <f>$B$6</f>
        <v>18643.019241516649</v>
      </c>
      <c r="D13" s="26">
        <f>B13*$B$4/12</f>
        <v>3525.3449684373486</v>
      </c>
      <c r="E13" s="26">
        <f>C13-D13</f>
        <v>15117.674273079301</v>
      </c>
      <c r="F13" s="26">
        <f>B13-E13</f>
        <v>924974.31731021369</v>
      </c>
      <c r="H13" s="30" t="s">
        <v>69</v>
      </c>
      <c r="I13" s="32">
        <f>IRR(I4:I10)</f>
        <v>0.15338761042527493</v>
      </c>
    </row>
    <row r="14" spans="1:14" x14ac:dyDescent="0.25">
      <c r="A14" s="25">
        <v>6</v>
      </c>
      <c r="B14" s="26">
        <f>F13</f>
        <v>924974.31731021369</v>
      </c>
      <c r="C14" s="26">
        <f>$B$6</f>
        <v>18643.019241516649</v>
      </c>
      <c r="D14" s="26">
        <f>B14*$B$4/12</f>
        <v>3468.6536899133012</v>
      </c>
      <c r="E14" s="26">
        <f>C14-D14</f>
        <v>15174.365551603349</v>
      </c>
      <c r="F14" s="26">
        <f>B14-E14</f>
        <v>909799.95175861032</v>
      </c>
    </row>
    <row r="15" spans="1:14" x14ac:dyDescent="0.25">
      <c r="A15" s="25">
        <v>7</v>
      </c>
      <c r="B15" s="26">
        <f>F14</f>
        <v>909799.95175861032</v>
      </c>
      <c r="C15" s="26">
        <f>$B$6</f>
        <v>18643.019241516649</v>
      </c>
      <c r="D15" s="26">
        <f>B15*$B$4/12</f>
        <v>3411.7498190947886</v>
      </c>
      <c r="E15" s="26">
        <f>C15-D15</f>
        <v>15231.269422421861</v>
      </c>
      <c r="F15" s="26">
        <f>B15-E15</f>
        <v>894568.6823361885</v>
      </c>
    </row>
    <row r="16" spans="1:14" x14ac:dyDescent="0.25">
      <c r="A16" s="25">
        <v>8</v>
      </c>
      <c r="B16" s="26">
        <f>F15</f>
        <v>894568.6823361885</v>
      </c>
      <c r="C16" s="26">
        <f>$B$6</f>
        <v>18643.019241516649</v>
      </c>
      <c r="D16" s="26">
        <f>B16*$B$4/12</f>
        <v>3354.6325587607066</v>
      </c>
      <c r="E16" s="26">
        <f>C16-D16</f>
        <v>15288.386682755943</v>
      </c>
      <c r="F16" s="26">
        <f>B16-E16</f>
        <v>879280.29565343261</v>
      </c>
    </row>
    <row r="17" spans="1:6" x14ac:dyDescent="0.25">
      <c r="A17" s="25">
        <v>9</v>
      </c>
      <c r="B17" s="26">
        <f>F16</f>
        <v>879280.29565343261</v>
      </c>
      <c r="C17" s="26">
        <f>$B$6</f>
        <v>18643.019241516649</v>
      </c>
      <c r="D17" s="26">
        <f>B17*$B$4/12</f>
        <v>3297.3011087003724</v>
      </c>
      <c r="E17" s="26">
        <f>C17-D17</f>
        <v>15345.718132816277</v>
      </c>
      <c r="F17" s="26">
        <f>B17-E17</f>
        <v>863934.57752061635</v>
      </c>
    </row>
    <row r="18" spans="1:6" x14ac:dyDescent="0.25">
      <c r="A18" s="25">
        <v>10</v>
      </c>
      <c r="B18" s="26">
        <f>F17</f>
        <v>863934.57752061635</v>
      </c>
      <c r="C18" s="26">
        <f>$B$6</f>
        <v>18643.019241516649</v>
      </c>
      <c r="D18" s="26">
        <f>B18*$B$4/12</f>
        <v>3239.7546657023108</v>
      </c>
      <c r="E18" s="26">
        <f>C18-D18</f>
        <v>15403.264575814339</v>
      </c>
      <c r="F18" s="26">
        <f>B18-E18</f>
        <v>848531.31294480199</v>
      </c>
    </row>
    <row r="19" spans="1:6" x14ac:dyDescent="0.25">
      <c r="A19" s="25">
        <v>11</v>
      </c>
      <c r="B19" s="26">
        <f>F18</f>
        <v>848531.31294480199</v>
      </c>
      <c r="C19" s="26">
        <f>$B$6</f>
        <v>18643.019241516649</v>
      </c>
      <c r="D19" s="26">
        <f>B19*$B$4/12</f>
        <v>3181.9924235430076</v>
      </c>
      <c r="E19" s="26">
        <f>C19-D19</f>
        <v>15461.026817973641</v>
      </c>
      <c r="F19" s="26">
        <f>B19-E19</f>
        <v>833070.2861268284</v>
      </c>
    </row>
    <row r="20" spans="1:6" x14ac:dyDescent="0.25">
      <c r="A20" s="25">
        <v>12</v>
      </c>
      <c r="B20" s="26">
        <f>F19</f>
        <v>833070.2861268284</v>
      </c>
      <c r="C20" s="26">
        <f>$B$6</f>
        <v>18643.019241516649</v>
      </c>
      <c r="D20" s="26">
        <f>B20*$B$4/12</f>
        <v>3124.0135729756062</v>
      </c>
      <c r="E20" s="26">
        <f>C20-D20</f>
        <v>15519.005668541044</v>
      </c>
      <c r="F20" s="26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4753B-3D75-4E3D-AA77-1F3805226E7C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7" t="s">
        <v>35</v>
      </c>
      <c r="B1" s="17" t="s">
        <v>36</v>
      </c>
      <c r="C1" s="17" t="s">
        <v>37</v>
      </c>
      <c r="D1" s="17" t="s">
        <v>38</v>
      </c>
      <c r="E1" s="17" t="s">
        <v>39</v>
      </c>
      <c r="F1" s="17" t="s">
        <v>40</v>
      </c>
    </row>
    <row r="2" spans="1:6" x14ac:dyDescent="0.25">
      <c r="A2" t="s">
        <v>41</v>
      </c>
      <c r="B2" s="2">
        <v>5200000</v>
      </c>
      <c r="C2" s="2">
        <v>5000000</v>
      </c>
      <c r="D2" s="2">
        <f>IF(AND(B2&lt;&gt;"",C2&lt;&gt;""),B2-C2,"")</f>
        <v>200000</v>
      </c>
      <c r="E2" s="18">
        <f>IF(AND(D2&lt;&gt;"",C2&lt;&gt;0),D2/C2,"")</f>
        <v>0.04</v>
      </c>
      <c r="F2">
        <v>4800000</v>
      </c>
    </row>
    <row r="3" spans="1:6" x14ac:dyDescent="0.25">
      <c r="A3" t="s">
        <v>42</v>
      </c>
      <c r="B3" s="2">
        <v>3120000</v>
      </c>
      <c r="C3" s="2">
        <v>3000000</v>
      </c>
      <c r="D3" s="2">
        <f>IF(AND(B3&lt;&gt;"",C3&lt;&gt;""),B3-C3,"")</f>
        <v>120000</v>
      </c>
      <c r="E3" s="18">
        <f>IF(AND(D3&lt;&gt;"",C3&lt;&gt;0),D3/C3,"")</f>
        <v>0.04</v>
      </c>
      <c r="F3">
        <v>2880000</v>
      </c>
    </row>
    <row r="4" spans="1:6" x14ac:dyDescent="0.25">
      <c r="A4" s="3" t="s">
        <v>43</v>
      </c>
      <c r="B4" s="4">
        <f>B2-B3</f>
        <v>2080000</v>
      </c>
      <c r="C4" s="4">
        <f>C2-C3</f>
        <v>2000000</v>
      </c>
      <c r="D4" s="4">
        <f>IF(AND(B4&lt;&gt;"",C4&lt;&gt;""),B4-C4,"")</f>
        <v>80000</v>
      </c>
      <c r="E4" s="19">
        <f>IF(AND(D4&lt;&gt;"",C4&lt;&gt;0),D4/C4,"")</f>
        <v>0.04</v>
      </c>
      <c r="F4" s="20">
        <f>F2-F3</f>
        <v>1920000</v>
      </c>
    </row>
    <row r="5" spans="1:6" x14ac:dyDescent="0.25">
      <c r="A5" t="s">
        <v>44</v>
      </c>
      <c r="B5" s="18">
        <f>IF(B2=0,0,B4/B2)</f>
        <v>0.4</v>
      </c>
      <c r="C5" s="18">
        <f>IF(C2=0,0,C4/C2)</f>
        <v>0.4</v>
      </c>
      <c r="D5" s="18">
        <f>IF(AND(B5&lt;&gt;"",C5&lt;&gt;""),B5-C5,"")</f>
        <v>0</v>
      </c>
      <c r="E5" s="18">
        <f>IF(AND(D5&lt;&gt;"",C5&lt;&gt;0),D5/C5,"")</f>
        <v>0</v>
      </c>
      <c r="F5" s="18">
        <f>IF(F2=0,0,F4/F2)</f>
        <v>0.4</v>
      </c>
    </row>
    <row r="6" spans="1:6" x14ac:dyDescent="0.25">
      <c r="A6" t="s">
        <v>45</v>
      </c>
      <c r="B6" s="2">
        <v>520000</v>
      </c>
      <c r="C6" s="2">
        <v>480000</v>
      </c>
      <c r="D6" s="2">
        <f>IF(AND(B6&lt;&gt;"",C6&lt;&gt;""),B6-C6,"")</f>
        <v>40000</v>
      </c>
      <c r="E6" s="18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2">
        <v>380000</v>
      </c>
      <c r="C7" s="2">
        <v>360000</v>
      </c>
      <c r="D7" s="2">
        <f>IF(AND(B7&lt;&gt;"",C7&lt;&gt;""),B7-C7,"")</f>
        <v>20000</v>
      </c>
      <c r="E7" s="18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2">
        <v>210000</v>
      </c>
      <c r="C8" s="2">
        <v>200000</v>
      </c>
      <c r="D8" s="2">
        <f>IF(AND(B8&lt;&gt;"",C8&lt;&gt;""),B8-C8,"")</f>
        <v>10000</v>
      </c>
      <c r="E8" s="18">
        <f>IF(AND(D8&lt;&gt;"",C8&lt;&gt;0),D8/C8,"")</f>
        <v>0.05</v>
      </c>
      <c r="F8">
        <v>180000</v>
      </c>
    </row>
    <row r="9" spans="1:6" x14ac:dyDescent="0.25">
      <c r="A9" s="3" t="s">
        <v>48</v>
      </c>
      <c r="B9" s="4">
        <f>B4-B6-B7-B8</f>
        <v>970000</v>
      </c>
      <c r="C9" s="4">
        <f>C4-C6-C7-C8</f>
        <v>960000</v>
      </c>
      <c r="D9" s="4">
        <f>IF(AND(B9&lt;&gt;"",C9&lt;&gt;""),B9-C9,"")</f>
        <v>10000</v>
      </c>
      <c r="E9" s="19">
        <f>IF(AND(D9&lt;&gt;"",C9&lt;&gt;0),D9/C9,"")</f>
        <v>1.0416666666666666E-2</v>
      </c>
      <c r="F9" s="20">
        <f>F4-F6-F7-F8</f>
        <v>950000</v>
      </c>
    </row>
    <row r="10" spans="1:6" x14ac:dyDescent="0.25">
      <c r="A10" t="s">
        <v>49</v>
      </c>
      <c r="B10" s="2">
        <v>45000</v>
      </c>
      <c r="C10" s="2">
        <v>42000</v>
      </c>
      <c r="D10" s="2">
        <f>IF(AND(B10&lt;&gt;"",C10&lt;&gt;""),B10-C10,"")</f>
        <v>3000</v>
      </c>
      <c r="E10" s="18">
        <f>IF(AND(D10&lt;&gt;"",C10&lt;&gt;0),D10/C10,"")</f>
        <v>7.1428571428571425E-2</v>
      </c>
      <c r="F10">
        <v>40000</v>
      </c>
    </row>
    <row r="11" spans="1:6" x14ac:dyDescent="0.25">
      <c r="A11" s="3" t="s">
        <v>50</v>
      </c>
      <c r="B11" s="4">
        <f>B9-B10</f>
        <v>925000</v>
      </c>
      <c r="C11" s="4">
        <f>C9-C10</f>
        <v>918000</v>
      </c>
      <c r="D11" s="4">
        <f>IF(AND(B11&lt;&gt;"",C11&lt;&gt;""),B11-C11,"")</f>
        <v>7000</v>
      </c>
      <c r="E11" s="19">
        <f>IF(AND(D11&lt;&gt;"",C11&lt;&gt;0),D11/C11,"")</f>
        <v>7.6252723311546842E-3</v>
      </c>
      <c r="F11" s="20">
        <f>F9-F10</f>
        <v>910000</v>
      </c>
    </row>
    <row r="12" spans="1:6" x14ac:dyDescent="0.25">
      <c r="A12" t="s">
        <v>51</v>
      </c>
      <c r="B12" s="2">
        <f>B11*0.25</f>
        <v>231250</v>
      </c>
      <c r="C12" s="2">
        <f>C11*0.25</f>
        <v>229500</v>
      </c>
      <c r="D12" s="2">
        <f>IF(AND(B12&lt;&gt;"",C12&lt;&gt;""),B12-C12,"")</f>
        <v>1750</v>
      </c>
      <c r="E12" s="18">
        <f>IF(AND(D12&lt;&gt;"",C12&lt;&gt;0),D12/C12,"")</f>
        <v>7.6252723311546842E-3</v>
      </c>
      <c r="F12">
        <f>F11*0.25</f>
        <v>227500</v>
      </c>
    </row>
    <row r="13" spans="1:6" x14ac:dyDescent="0.25">
      <c r="A13" s="3" t="s">
        <v>52</v>
      </c>
      <c r="B13" s="4">
        <f>B11-B12</f>
        <v>693750</v>
      </c>
      <c r="C13" s="4">
        <f>C11-C12</f>
        <v>688500</v>
      </c>
      <c r="D13" s="4">
        <f>IF(AND(B13&lt;&gt;"",C13&lt;&gt;""),B13-C13,"")</f>
        <v>5250</v>
      </c>
      <c r="E13" s="19">
        <f>IF(AND(D13&lt;&gt;"",C13&lt;&gt;0),D13/C13,"")</f>
        <v>7.6252723311546842E-3</v>
      </c>
      <c r="F13" s="20">
        <f>F11-F12</f>
        <v>682500</v>
      </c>
    </row>
    <row r="14" spans="1:6" x14ac:dyDescent="0.25">
      <c r="A14" t="s">
        <v>53</v>
      </c>
      <c r="B14" s="18">
        <f>IF(B2=0,0,B13/B2)</f>
        <v>0.13341346153846154</v>
      </c>
      <c r="C14" s="18">
        <f>IF(C2=0,0,C13/C2)</f>
        <v>0.13769999999999999</v>
      </c>
      <c r="D14" s="18">
        <f>IF(AND(B14&lt;&gt;"",C14&lt;&gt;""),B14-C14,"")</f>
        <v>-4.2865384615384527E-3</v>
      </c>
      <c r="E14" s="18">
        <f>IF(AND(D14&lt;&gt;"",C14&lt;&gt;0),D14/C14,"")</f>
        <v>-3.1129545835428128E-2</v>
      </c>
      <c r="F14" s="18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{178EC54B-1E5B-4A82-B220-A8CC7162A172}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78EC54B-1E5B-4A82-B220-A8CC7162A172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5" t="s">
        <v>0</v>
      </c>
      <c r="B1" s="5"/>
      <c r="C1" s="5"/>
      <c r="D1" s="5"/>
      <c r="E1" s="5"/>
      <c r="F1" s="5"/>
    </row>
    <row r="2" spans="1:6" x14ac:dyDescent="0.25">
      <c r="A2" s="6" t="s">
        <v>1</v>
      </c>
      <c r="B2" s="7" t="s">
        <v>2</v>
      </c>
      <c r="C2" s="7" t="s">
        <v>3</v>
      </c>
      <c r="D2" s="7" t="s">
        <v>4</v>
      </c>
      <c r="E2" s="7" t="s">
        <v>2</v>
      </c>
      <c r="F2" s="8" t="s">
        <v>3</v>
      </c>
    </row>
    <row r="3" spans="1:6" x14ac:dyDescent="0.25">
      <c r="A3" s="9" t="s">
        <v>5</v>
      </c>
      <c r="B3" s="10"/>
      <c r="C3" s="10"/>
      <c r="D3" s="9" t="s">
        <v>6</v>
      </c>
      <c r="E3" s="10"/>
      <c r="F3" s="10"/>
    </row>
    <row r="4" spans="1:6" x14ac:dyDescent="0.25">
      <c r="A4" s="9" t="s">
        <v>7</v>
      </c>
      <c r="B4" s="10">
        <v>850000</v>
      </c>
      <c r="C4" s="10">
        <v>720000</v>
      </c>
      <c r="D4" s="9" t="s">
        <v>8</v>
      </c>
      <c r="E4" s="10">
        <v>200000</v>
      </c>
      <c r="F4" s="10">
        <v>150000</v>
      </c>
    </row>
    <row r="5" spans="1:6" x14ac:dyDescent="0.25">
      <c r="A5" s="9" t="s">
        <v>9</v>
      </c>
      <c r="B5" s="10">
        <v>430000</v>
      </c>
      <c r="C5" s="10">
        <v>380000</v>
      </c>
      <c r="D5" s="9" t="s">
        <v>10</v>
      </c>
      <c r="E5" s="10">
        <v>310000</v>
      </c>
      <c r="F5" s="10">
        <v>270000</v>
      </c>
    </row>
    <row r="6" spans="1:6" x14ac:dyDescent="0.25">
      <c r="A6" s="9" t="s">
        <v>11</v>
      </c>
      <c r="B6" s="10">
        <v>280000</v>
      </c>
      <c r="C6" s="10">
        <v>260000</v>
      </c>
      <c r="D6" s="9" t="s">
        <v>12</v>
      </c>
      <c r="E6" s="10">
        <v>45000</v>
      </c>
      <c r="F6" s="10">
        <v>38000</v>
      </c>
    </row>
    <row r="7" spans="1:6" x14ac:dyDescent="0.25">
      <c r="A7" s="9" t="s">
        <v>13</v>
      </c>
      <c r="B7" s="10">
        <v>35000</v>
      </c>
      <c r="C7" s="10">
        <v>28000</v>
      </c>
      <c r="D7" s="9" t="s">
        <v>14</v>
      </c>
      <c r="E7" s="10">
        <v>82000</v>
      </c>
      <c r="F7" s="10">
        <v>76000</v>
      </c>
    </row>
    <row r="8" spans="1:6" x14ac:dyDescent="0.25">
      <c r="A8" s="9" t="s">
        <v>15</v>
      </c>
      <c r="B8" s="10">
        <v>15000</v>
      </c>
      <c r="C8" s="10">
        <v>12000</v>
      </c>
      <c r="D8" s="9" t="s">
        <v>16</v>
      </c>
      <c r="E8" s="10">
        <v>28000</v>
      </c>
      <c r="F8" s="10">
        <v>24000</v>
      </c>
    </row>
    <row r="9" spans="1:6" x14ac:dyDescent="0.25">
      <c r="A9" s="11" t="s">
        <v>17</v>
      </c>
      <c r="B9" s="13">
        <f>SUM(B4:B8)</f>
        <v>1610000</v>
      </c>
      <c r="C9" s="13">
        <f>SUM(C4:C8)</f>
        <v>1400000</v>
      </c>
      <c r="D9" s="14" t="s">
        <v>18</v>
      </c>
      <c r="E9" s="13">
        <f>SUM(E4:E8)</f>
        <v>665000</v>
      </c>
      <c r="F9" s="15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19</v>
      </c>
      <c r="B11" s="10"/>
      <c r="C11" s="10"/>
      <c r="D11" s="9" t="s">
        <v>20</v>
      </c>
      <c r="E11" s="10"/>
      <c r="F11" s="10"/>
    </row>
    <row r="12" spans="1:6" x14ac:dyDescent="0.25">
      <c r="A12" s="9" t="s">
        <v>21</v>
      </c>
      <c r="B12" s="10">
        <v>1200000</v>
      </c>
      <c r="C12" s="10">
        <v>1350000</v>
      </c>
      <c r="D12" s="9" t="s">
        <v>22</v>
      </c>
      <c r="E12" s="10">
        <v>500000</v>
      </c>
      <c r="F12" s="10">
        <v>600000</v>
      </c>
    </row>
    <row r="13" spans="1:6" x14ac:dyDescent="0.25">
      <c r="A13" s="9" t="s">
        <v>23</v>
      </c>
      <c r="B13" s="10">
        <v>180000</v>
      </c>
      <c r="C13" s="10">
        <v>200000</v>
      </c>
      <c r="D13" s="9" t="s">
        <v>24</v>
      </c>
      <c r="E13" s="10">
        <v>80000</v>
      </c>
      <c r="F13" s="10">
        <v>90000</v>
      </c>
    </row>
    <row r="14" spans="1:6" x14ac:dyDescent="0.25">
      <c r="A14" s="11" t="s">
        <v>25</v>
      </c>
      <c r="B14" s="13">
        <f>SUM(B11:B13)</f>
        <v>1380000</v>
      </c>
      <c r="C14" s="13">
        <f>SUM(C11:C13)</f>
        <v>1550000</v>
      </c>
      <c r="D14" s="14"/>
      <c r="E14" s="13">
        <f>SUM(E11:E12)</f>
        <v>500000</v>
      </c>
      <c r="F14" s="15">
        <f>SUM(F11:F12)</f>
        <v>600000</v>
      </c>
    </row>
    <row r="15" spans="1:6" x14ac:dyDescent="0.25">
      <c r="A15" s="9" t="s">
        <v>26</v>
      </c>
      <c r="B15" s="10"/>
      <c r="C15" s="10"/>
      <c r="D15" s="9" t="s">
        <v>27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28</v>
      </c>
      <c r="E17" s="10"/>
      <c r="F17" s="10"/>
    </row>
    <row r="18" spans="1:6" x14ac:dyDescent="0.25">
      <c r="A18" s="9"/>
      <c r="B18" s="10"/>
      <c r="C18" s="10"/>
      <c r="D18" s="9" t="s">
        <v>29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30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31</v>
      </c>
      <c r="E20" s="16">
        <f>SUM(E17:E19)</f>
        <v>1000000</v>
      </c>
      <c r="F20" s="16">
        <f>SUM(F17:F19)</f>
        <v>1000000</v>
      </c>
    </row>
    <row r="21" spans="1:6" x14ac:dyDescent="0.25">
      <c r="A21" s="11"/>
      <c r="B21" s="13">
        <f>B9+B14</f>
        <v>2990000</v>
      </c>
      <c r="C21" s="13">
        <f>C9+C14</f>
        <v>2950000</v>
      </c>
      <c r="D21" s="14" t="s">
        <v>32</v>
      </c>
      <c r="E21" s="13">
        <f>E9+E14+E20</f>
        <v>2165000</v>
      </c>
      <c r="F21" s="15">
        <f>F9+F14+F20</f>
        <v>2158000</v>
      </c>
    </row>
    <row r="22" spans="1:6" x14ac:dyDescent="0.25">
      <c r="A22" s="9" t="s">
        <v>33</v>
      </c>
      <c r="B22" s="9"/>
      <c r="C22" s="9"/>
      <c r="D22" s="9" t="s">
        <v>34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2026-05-06T01:52:13Z</dcterms:created>
  <dcterms:modified xsi:type="dcterms:W3CDTF">2026-05-06T01:52:20Z</dcterms:modified>
</cp:coreProperties>
</file>